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etup" sheetId="2" state="visible" r:id="rId4"/>
    <sheet name="Score Log" sheetId="3" state="visible" r:id="rId5"/>
    <sheet name="Leaderboard" sheetId="4" state="visible" r:id="rId6"/>
    <sheet name="Class Detail" sheetId="5" state="visible" r:id="rId7"/>
    <sheet name="Scoring Criteri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<sst xmlns="http://schemas.openxmlformats.org/spreadsheetml/2006/main" count="164" uniqueCount="138">
  <si>
    <t xml:space="preserve">TACTICS CUP — SCORING SHEET</t>
  </si>
  <si>
    <t xml:space="preserve">Grade 8 Physical Education · Tactics Lab Unit · 9 lessons across 6 classes and 4 teachers</t>
  </si>
  <si>
    <t xml:space="preserve">HOW THIS WORKBOOK WORKS</t>
  </si>
  <si>
    <t xml:space="preserve">This workbook tracks the Tactics Cup tournament across all 6 Grade 8 PE classes over 9 lessons. Each class earns points each lesson; the class with the most points at the end of Lesson 9 wins.</t>
  </si>
  <si>
    <t xml:space="preserve">TABS IN THIS WORKBOOK</t>
  </si>
  <si>
    <t xml:space="preserve">Setup — class names, teacher assignments, and the master configuration. Edit this first.</t>
  </si>
  <si>
    <t xml:space="preserve">Score Log — one row per class per lesson (54 rows total). This is where teachers enter scores after each lesson.</t>
  </si>
  <si>
    <t xml:space="preserve">Leaderboard — auto-updating ranking of all 6 classes. Visible artifact for students.</t>
  </si>
  <si>
    <t xml:space="preserve">Class Detail — drill into any one class's lesson-by-lesson history.</t>
  </si>
  <si>
    <t xml:space="preserve">Scoring Criteria — reference doc with award descriptors. Keep this open during scoring.</t>
  </si>
  <si>
    <t xml:space="preserve">THE SCORING SYSTEM (per class, per lesson)</t>
  </si>
  <si>
    <t xml:space="preserve">Each lesson, each class can earn up to 30 points across four sources:</t>
  </si>
  <si>
    <t xml:space="preserve">  • Game points (max 10):  2 pts per game played + 2 pts per game won, capped at 10. Pure formula.</t>
  </si>
  <si>
    <t xml:space="preserve">  • Spirit Award (5 pts):  Teacher gives 1 per class per lesson to the team showing best sportsmanship.</t>
  </si>
  <si>
    <t xml:space="preserve">  • Tactical Award (5 pts):  Teacher gives 1 per class per lesson to the team thinking tactically.</t>
  </si>
  <si>
    <t xml:space="preserve">  • AP Awards (5 pts × 2):  Teacher gives 2 per class per lesson to the teams showing best active participation.</t>
  </si>
  <si>
    <t xml:space="preserve">Per-lesson maximum: 30 points. Across 9 lessons: 270 points total possible.</t>
  </si>
  <si>
    <t xml:space="preserve">WHO GIVES THE AWARDS</t>
  </si>
  <si>
    <t xml:space="preserve">Awards are given by the teacher who teaches each class, to playing teams from that class only. In parallel-class lessons (when two classes share a gym), teachers deliberately position themselves to observe their own students. See the Scoring Criteria tab for what earns each award.</t>
  </si>
  <si>
    <t xml:space="preserve">WORKFLOW EACH LESSON</t>
  </si>
  <si>
    <t xml:space="preserve">1. During the lesson, jot down notable team behaviour and games played/won.</t>
  </si>
  <si>
    <t xml:space="preserve">2. After the lesson, open the Score Log tab and find the row for your class + that lesson.</t>
  </si>
  <si>
    <t xml:space="preserve">3. Enter: games played, games won, and which team won each award.</t>
  </si>
  <si>
    <t xml:space="preserve">4. The Class Total column auto-calculates. The Leaderboard auto-updates.</t>
  </si>
  <si>
    <t xml:space="preserve">NOTES</t>
  </si>
  <si>
    <t xml:space="preserve">• Award team names are free-text (e.g. "Team 2", "Red", "Marcus's team"). The team name is just for record; the points go to the class.</t>
  </si>
  <si>
    <t xml:space="preserve">• If a teacher doesn't have enough evidence to give an award that lesson, leave the team field blank — the award won't score.</t>
  </si>
  <si>
    <t xml:space="preserve">• AP Award 2 can be left blank if only one team deserved it that lesson.</t>
  </si>
  <si>
    <t xml:space="preserve">• Edit class and teacher names in the Setup tab — they propagate to all other tabs.</t>
  </si>
  <si>
    <t xml:space="preserve">SETUP — CLASSES &amp; TEACHERS</t>
  </si>
  <si>
    <t xml:space="preserve">Edit the class and teacher names below. They will populate throughout the workbook.</t>
  </si>
  <si>
    <t xml:space="preserve">Class ID</t>
  </si>
  <si>
    <t xml:space="preserve">Class Name</t>
  </si>
  <si>
    <t xml:space="preserve">Teacher</t>
  </si>
  <si>
    <t xml:space="preserve"># Students</t>
  </si>
  <si>
    <t xml:space="preserve">C1</t>
  </si>
  <si>
    <t xml:space="preserve">8A</t>
  </si>
  <si>
    <t xml:space="preserve">Teacher 1</t>
  </si>
  <si>
    <t xml:space="preserve">C2</t>
  </si>
  <si>
    <t xml:space="preserve">8B</t>
  </si>
  <si>
    <t xml:space="preserve">C3</t>
  </si>
  <si>
    <t xml:space="preserve">8C</t>
  </si>
  <si>
    <t xml:space="preserve">Teacher 2</t>
  </si>
  <si>
    <t xml:space="preserve">C4</t>
  </si>
  <si>
    <t xml:space="preserve">8D</t>
  </si>
  <si>
    <t xml:space="preserve">C5</t>
  </si>
  <si>
    <t xml:space="preserve">8E</t>
  </si>
  <si>
    <t xml:space="preserve">Teacher 3</t>
  </si>
  <si>
    <t xml:space="preserve">C6</t>
  </si>
  <si>
    <t xml:space="preserve">8F</t>
  </si>
  <si>
    <t xml:space="preserve">Teacher 4</t>
  </si>
  <si>
    <t xml:space="preserve">BLOCK SCHEDULE</t>
  </si>
  <si>
    <t xml:space="preserve">Block</t>
  </si>
  <si>
    <t xml:space="preserve">Lessons</t>
  </si>
  <si>
    <t xml:space="preserve">Tactical Problem</t>
  </si>
  <si>
    <t xml:space="preserve">Game Pool</t>
  </si>
  <si>
    <t xml:space="preserve">Block 1</t>
  </si>
  <si>
    <t xml:space="preserve">L1–L3</t>
  </si>
  <si>
    <t xml:space="preserve">Attack &amp; Defend Territory</t>
  </si>
  <si>
    <t xml:space="preserve">Capture the Flag, Basketball, Crossover, Tchoukball, Ultimate, Football, Flag Rugby, Handball, Floor Hockey, Hunger Games, Lacrosse</t>
  </si>
  <si>
    <t xml:space="preserve">Block 2</t>
  </si>
  <si>
    <t xml:space="preserve">L4–L6</t>
  </si>
  <si>
    <t xml:space="preserve">Eliminate &amp; Protect</t>
  </si>
  <si>
    <t xml:space="preserve">Classic Dodgeball, Pinball/Pin Guard, Benchball, Gaga, Battleship</t>
  </si>
  <si>
    <t xml:space="preserve">Block 3</t>
  </si>
  <si>
    <t xml:space="preserve">L7–L9</t>
  </si>
  <si>
    <t xml:space="preserve">Outwit Your Opponent</t>
  </si>
  <si>
    <t xml:space="preserve">Pickleball, Badminton, Boxball/Four Square, Table Tennis, Spikeball, Volleyball (2v2)</t>
  </si>
  <si>
    <t xml:space="preserve">SCORE LOG — Enter scores here after each lesson</t>
  </si>
  <si>
    <t xml:space="preserve">Yellow cells = teacher input. Grey cells = auto-calculated. Total column shows the class's points for that lesson (max 30).</t>
  </si>
  <si>
    <t xml:space="preserve">Class</t>
  </si>
  <si>
    <t xml:space="preserve">Lesson</t>
  </si>
  <si>
    <t xml:space="preserve">Games Played</t>
  </si>
  <si>
    <t xml:space="preserve">Games Won</t>
  </si>
  <si>
    <t xml:space="preserve">Game Pts</t>
  </si>
  <si>
    <t xml:space="preserve">Spirit Team</t>
  </si>
  <si>
    <t xml:space="preserve">Tactical Team</t>
  </si>
  <si>
    <t xml:space="preserve">AP Team 1</t>
  </si>
  <si>
    <t xml:space="preserve">AP Team 2</t>
  </si>
  <si>
    <t xml:space="preserve">Class Total</t>
  </si>
  <si>
    <t xml:space="preserve">🏆 TACTICS CUP — GRADE-WIDE LEADERBOARD</t>
  </si>
  <si>
    <t xml:space="preserve">Live ranking of all 6 classes across all 9 lessons. Updates automatically as scores are logged.</t>
  </si>
  <si>
    <t xml:space="preserve">STANDINGS</t>
  </si>
  <si>
    <t xml:space="preserve">Rank</t>
  </si>
  <si>
    <t xml:space="preserve">Total Points</t>
  </si>
  <si>
    <t xml:space="preserve">Awards</t>
  </si>
  <si>
    <t xml:space="preserve">Lessons Logged</t>
  </si>
  <si>
    <t xml:space="preserve">Avg per Lesson</t>
  </si>
  <si>
    <t xml:space="preserve">LESSON-BY-LESSON BREAKDOWN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</si>
  <si>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</si>
  <si>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</si>
  <si>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</si>
  <si>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</si>
  <si>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</si>
  <si>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L6</t>
  </si>
  <si>
    <t xml:space="preserve">L7</t>
  </si>
  <si>
    <t xml:space="preserve">L8</t>
  </si>
  <si>
    <t xml:space="preserve">L9</t>
  </si>
  <si>
    <t xml:space="preserve">Total</t>
  </si>
  <si>
    <t xml:space="preserve">CLASS DETAIL — Lesson-by-lesson view</t>
  </si>
  <si>
    <t xml:space="preserve">Select a class:</t>
  </si>
  <si>
    <t xml:space="preserve">(type a class name from Setup to view that class's detail)</t>
  </si>
  <si>
    <t xml:space="preserve">Lesson Total</t>
  </si>
  <si>
    <t xml:space="preserve">Running Total</t>
  </si>
  <si>
    <t xml:space="preserve">SCORING CRITERIA — keep this open during scoring</t>
  </si>
  <si>
    <t xml:space="preserve">GAME POINTS (max 10)</t>
  </si>
  <si>
    <t xml:space="preserve">How it's calculated</t>
  </si>
  <si>
    <t xml:space="preserve">Formula</t>
  </si>
  <si>
    <t xml:space="preserve">2 points per game played + 2 points per game won within the class, capped at 10 points per lesson.</t>
  </si>
  <si>
    <t xml:space="preserve">SPIRIT AWARD (5 pts)</t>
  </si>
  <si>
    <t xml:space="preserve">Who</t>
  </si>
  <si>
    <t xml:space="preserve">1 per class per lesson</t>
  </si>
  <si>
    <t xml:space="preserve">Given by the class's teacher to one playing team from that class.</t>
  </si>
  <si>
    <t xml:space="preserve">Awarded for</t>
  </si>
  <si>
    <t xml:space="preserve">The team that best demonstrated: encouraging teammates and opponents, including quieter or less-skilled players, fair play and respect for rules, and lifting the energy of the playing space.</t>
  </si>
  <si>
    <t xml:space="preserve">Tip for teachers</t>
  </si>
  <si>
    <t xml:space="preserve">Look for moments rather than overall vibe — one team that visibly included a struggling teammate beats a team that was just generally pleasant.</t>
  </si>
  <si>
    <t xml:space="preserve">TACTICAL AWARD (5 pts)</t>
  </si>
  <si>
    <t xml:space="preserve">The team that best demonstrated: executing a tactic from a Card or their Wall Planner, inventing or refining a tactic during play, articulating tactics aloud or coaching teammates, adapting tactics when opponents adjusted.</t>
  </si>
  <si>
    <t xml:space="preserve">Listen for tactical language — "let's overload the left" beats silent execution. Invention and articulation are the rare signals.</t>
  </si>
  <si>
    <t xml:space="preserve">AP AWARDS (5 pts each × 2)</t>
  </si>
  <si>
    <t xml:space="preserve">2 per class per lesson</t>
  </si>
  <si>
    <t xml:space="preserve">Given by the class's teacher to two playing teams from that class.</t>
  </si>
  <si>
    <t xml:space="preserve">The two teams that best demonstrated: full engagement throughout the lesson (no opt-outs, no time-outs), visible effort across all game time, and active involvement in Wall Planner discussions and warm-up.</t>
  </si>
  <si>
    <t xml:space="preserve">Reward the teams whose energy you'd want bottled. If only one team really earned it that lesson, leave AP Team 2 blank — don't give a second award by default.</t>
  </si>
  <si>
    <t xml:space="preserve">CONSISTENCY RULES (read before scoring)</t>
  </si>
  <si>
    <t xml:space="preserve">#1</t>
  </si>
  <si>
    <t xml:space="preserve">Each teacher has the same fixed budget every lesson: 1 Spirit + 1 Tactical + 2 AP awards. Scarcity ensures consistency between teachers.</t>
  </si>
  <si>
    <t xml:space="preserve">#2</t>
  </si>
  <si>
    <t xml:space="preserve">Awards go to playing teams within the class — not individual students, not the class as a whole.</t>
  </si>
  <si>
    <t xml:space="preserve">#3</t>
  </si>
  <si>
    <t xml:space="preserve">The points belong to the class. If a team wins the Spirit Award, the class total gets +5.</t>
  </si>
  <si>
    <t xml:space="preserve">#4</t>
  </si>
  <si>
    <t xml:space="preserve">In parallel-class lessons, teachers position themselves to observe their own class's teams. You're scoring your own students, not the whole gym.</t>
  </si>
  <si>
    <t xml:space="preserve">#5</t>
  </si>
  <si>
    <t xml:space="preserve">If you didn't observe enough of your own class to award something, leave that award blank. The class doesn't get points for an unobserved lesson but isn't penalised either.</t>
  </si>
  <si>
    <t xml:space="preserve">#6</t>
  </si>
  <si>
    <t xml:space="preserve">Game points are formula-based — no teacher judgment. Just count games played and games won.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</si>
</sst>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2EFDA"/>
        <bgColor rgb="FFF2F2F2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FFFFFF"/>
        <sz val="14"/>
      </font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Tactics Cup — Total Points by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Leaderboard!D5</c:f>
              <c:strCache>
                <c:ptCount val="1"/>
                <c:pt idx="0">
                  <c:v>Total Points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Leaderboard!$B$6:$B$11</c:f>
              <c:strCache>
                <c:ptCount val="6"/>
                <c:pt idx="0">
                  <c:v>8A</c:v>
                </c:pt>
                <c:pt idx="1">
                  <c:v>8B</c:v>
                </c:pt>
                <c:pt idx="2">
                  <c:v>8C</c:v>
                </c:pt>
                <c:pt idx="3">
                  <c:v>8D</c:v>
                </c:pt>
                <c:pt idx="4">
                  <c:v>8E</c:v>
                </c:pt>
                <c:pt idx="5">
                  <c:v>8F</c:v>
                </c:pt>
              </c:strCache>
            </c:strRef>
          </c:cat>
          <c:val>
            <c:numRef>
              <c:f>Leaderboard!$D$6:$D$11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28771390"/>
        <c:axId val="58900477"/>
      </c:barChart>
      <c:catAx>
        <c:axId val="2877139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900477"/>
        <c:crosses val="autoZero"/>
        <c:auto val="1"/>
        <c:lblAlgn val="ctr"/>
        <c:lblOffset val="100"/>
        <c:noMultiLvlLbl val="0"/>
      </c:catAx>
      <c:valAx>
        <c:axId val="589004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Class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7713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Lesson-by-Lesson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'Class Detail'!J5</c:f>
              <c:strCache>
                <c:ptCount val="1"/>
                <c:pt idx="0">
                  <c:v>Lesson Total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'Class Detail'!$A$6:$A$14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'Class Detail'!$J$6:$J$14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597378"/>
        <c:axId val="80581119"/>
      </c:lineChart>
      <c:catAx>
        <c:axId val="495973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Lesson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581119"/>
        <c:crosses val="autoZero"/>
        <c:auto val="1"/>
        <c:lblAlgn val="ctr"/>
        <c:lblOffset val="100"/>
        <c:noMultiLvlLbl val="0"/>
      </c:catAx>
      <c:valAx>
        <c:axId val="805811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Lesson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973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160560</xdr:rowOff>
    </xdr:from>
    <xdr:to>
      <xdr:col>6</xdr:col>
      <xdr:colOff>417960</xdr:colOff>
      <xdr:row>31</xdr:row>
      <xdr:rowOff>140760</xdr:rowOff>
    </xdr:to>
    <xdr:graphicFrame>
      <xdr:nvGraphicFramePr>
        <xdr:cNvPr id="0" name="Chart 1"/>
        <xdr:cNvGraphicFramePr/>
      </xdr:nvGraphicFramePr>
      <xdr:xfrm>
        <a:off x="0" y="40482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6</xdr:col>
      <xdr:colOff>755280</xdr:colOff>
      <xdr:row>32</xdr:row>
      <xdr:rowOff>21960</xdr:rowOff>
    </xdr:to>
    <xdr:graphicFrame>
      <xdr:nvGraphicFramePr>
        <xdr:cNvPr id="1" name="Chart 1"/>
        <xdr:cNvGraphicFramePr/>
      </xdr:nvGraphicFramePr>
      <xdr:xfrm>
        <a:off x="0" y="36385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37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21.75" hidden="false" customHeight="true" outlineLevel="0" collapsed="false">
      <c r="A4" s="4" t="s">
        <v>2</v>
      </c>
    </row>
    <row r="5" customFormat="false" ht="26.8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21.75" hidden="false" customHeight="tru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21.75" hidden="false" customHeight="tru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5" t="s">
        <v>12</v>
      </c>
    </row>
    <row r="18" customFormat="false" ht="15" hidden="false" customHeight="false" outlineLevel="0" collapsed="false">
      <c r="A18" s="5" t="s">
        <v>13</v>
      </c>
    </row>
    <row r="19" customFormat="false" ht="15" hidden="false" customHeight="false" outlineLevel="0" collapsed="false">
      <c r="A19" s="5" t="s">
        <v>14</v>
      </c>
    </row>
    <row r="20" customFormat="false" ht="15" hidden="false" customHeight="false" outlineLevel="0" collapsed="false">
      <c r="A20" s="5" t="s">
        <v>15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3"/>
    </row>
    <row r="24" customFormat="false" ht="21.75" hidden="false" customHeight="true" outlineLevel="0" collapsed="false">
      <c r="A24" s="4" t="s">
        <v>17</v>
      </c>
    </row>
    <row r="25" customFormat="false" ht="39.55" hidden="false" customHeight="false" outlineLevel="0" collapsed="false">
      <c r="A25" s="3" t="s">
        <v>18</v>
      </c>
    </row>
    <row r="26" customFormat="false" ht="15" hidden="false" customHeight="false" outlineLevel="0" collapsed="false">
      <c r="A26" s="3"/>
    </row>
    <row r="27" customFormat="false" ht="21.75" hidden="false" customHeight="true" outlineLevel="0" collapsed="false">
      <c r="A27" s="4" t="s">
        <v>19</v>
      </c>
    </row>
    <row r="28" customFormat="false" ht="15" hidden="false" customHeight="false" outlineLevel="0" collapsed="false">
      <c r="A28" s="3" t="s">
        <v>20</v>
      </c>
    </row>
    <row r="29" customFormat="false" ht="15" hidden="false" customHeight="false" outlineLevel="0" collapsed="false">
      <c r="A29" s="3" t="s">
        <v>21</v>
      </c>
    </row>
    <row r="30" customFormat="false" ht="15" hidden="false" customHeight="false" outlineLevel="0" collapsed="false">
      <c r="A30" s="3" t="s">
        <v>22</v>
      </c>
    </row>
    <row r="31" customFormat="false" ht="15" hidden="false" customHeight="false" outlineLevel="0" collapsed="false">
      <c r="A31" s="3" t="s">
        <v>23</v>
      </c>
    </row>
    <row r="32" customFormat="false" ht="15" hidden="false" customHeight="false" outlineLevel="0" collapsed="false">
      <c r="A32" s="3"/>
    </row>
    <row r="33" customFormat="false" ht="21.75" hidden="false" customHeight="true" outlineLevel="0" collapsed="false">
      <c r="A33" s="4" t="s">
        <v>24</v>
      </c>
    </row>
    <row r="34" customFormat="false" ht="26.85" hidden="false" customHeight="false" outlineLevel="0" collapsed="false">
      <c r="A34" s="3" t="s">
        <v>25</v>
      </c>
    </row>
    <row r="35" customFormat="false" ht="26.85" hidden="false" customHeight="false" outlineLevel="0" collapsed="false">
      <c r="A35" s="3" t="s">
        <v>26</v>
      </c>
    </row>
    <row r="36" customFormat="false" ht="15" hidden="false" customHeight="false" outlineLevel="0" collapsed="false">
      <c r="A36" s="3" t="s">
        <v>27</v>
      </c>
    </row>
    <row r="37" customFormat="false" ht="15" hidden="false" customHeight="false" outlineLevel="0" collapsed="false">
      <c r="A37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70"/>
  </cols>
  <sheetData>
    <row r="1" customFormat="false" ht="30" hidden="false" customHeight="true" outlineLevel="0" collapsed="false">
      <c r="A1" s="6" t="s">
        <v>29</v>
      </c>
      <c r="B1" s="6"/>
      <c r="C1" s="6"/>
      <c r="D1" s="6"/>
    </row>
    <row r="2" customFormat="false" ht="15" hidden="false" customHeight="false" outlineLevel="0" collapsed="false">
      <c r="A2" s="7" t="s">
        <v>30</v>
      </c>
      <c r="B2" s="7"/>
      <c r="C2" s="7"/>
      <c r="D2" s="7"/>
    </row>
    <row r="4" customFormat="false" ht="15" hidden="false" customHeight="false" outlineLevel="0" collapsed="false">
      <c r="A4" s="8" t="s">
        <v>31</v>
      </c>
      <c r="B4" s="8" t="s">
        <v>32</v>
      </c>
      <c r="C4" s="8" t="s">
        <v>33</v>
      </c>
      <c r="D4" s="8" t="s">
        <v>34</v>
      </c>
    </row>
    <row r="5" customFormat="false" ht="15" hidden="false" customHeight="false" outlineLevel="0" collapsed="false">
      <c r="A5" s="9" t="s">
        <v>35</v>
      </c>
      <c r="B5" s="10" t="s">
        <v>36</v>
      </c>
      <c r="C5" s="10" t="s">
        <v>37</v>
      </c>
      <c r="D5" s="10" t="n">
        <v>28</v>
      </c>
    </row>
    <row r="6" customFormat="false" ht="15" hidden="false" customHeight="false" outlineLevel="0" collapsed="false">
      <c r="A6" s="9" t="s">
        <v>38</v>
      </c>
      <c r="B6" s="10" t="s">
        <v>39</v>
      </c>
      <c r="C6" s="10" t="s">
        <v>37</v>
      </c>
      <c r="D6" s="10" t="n">
        <v>28</v>
      </c>
    </row>
    <row r="7" customFormat="false" ht="15" hidden="false" customHeight="false" outlineLevel="0" collapsed="false">
      <c r="A7" s="9" t="s">
        <v>40</v>
      </c>
      <c r="B7" s="10" t="s">
        <v>41</v>
      </c>
      <c r="C7" s="10" t="s">
        <v>42</v>
      </c>
      <c r="D7" s="10" t="n">
        <v>28</v>
      </c>
    </row>
    <row r="8" customFormat="false" ht="15" hidden="false" customHeight="false" outlineLevel="0" collapsed="false">
      <c r="A8" s="9" t="s">
        <v>43</v>
      </c>
      <c r="B8" s="10" t="s">
        <v>44</v>
      </c>
      <c r="C8" s="10" t="s">
        <v>42</v>
      </c>
      <c r="D8" s="10" t="n">
        <v>28</v>
      </c>
    </row>
    <row r="9" customFormat="false" ht="15" hidden="false" customHeight="false" outlineLevel="0" collapsed="false">
      <c r="A9" s="9" t="s">
        <v>45</v>
      </c>
      <c r="B9" s="10" t="s">
        <v>46</v>
      </c>
      <c r="C9" s="10" t="s">
        <v>47</v>
      </c>
      <c r="D9" s="10" t="n">
        <v>28</v>
      </c>
    </row>
    <row r="10" customFormat="false" ht="15" hidden="false" customHeight="false" outlineLevel="0" collapsed="false">
      <c r="A10" s="9" t="s">
        <v>48</v>
      </c>
      <c r="B10" s="10" t="s">
        <v>49</v>
      </c>
      <c r="C10" s="10" t="s">
        <v>50</v>
      </c>
      <c r="D10" s="10" t="n">
        <v>28</v>
      </c>
    </row>
    <row r="13" customFormat="false" ht="16.15" hidden="false" customHeight="false" outlineLevel="0" collapsed="false">
      <c r="A13" s="11" t="s">
        <v>51</v>
      </c>
      <c r="B13" s="11"/>
      <c r="C13" s="11"/>
      <c r="D13" s="11"/>
    </row>
    <row r="14" customFormat="false" ht="15" hidden="false" customHeight="false" outlineLevel="0" collapsed="false">
      <c r="A14" s="8" t="s">
        <v>52</v>
      </c>
      <c r="B14" s="8" t="s">
        <v>53</v>
      </c>
      <c r="C14" s="8" t="s">
        <v>54</v>
      </c>
      <c r="D14" s="8" t="s">
        <v>55</v>
      </c>
    </row>
    <row r="15" customFormat="false" ht="45" hidden="false" customHeight="true" outlineLevel="0" collapsed="false">
      <c r="A15" s="12" t="s">
        <v>56</v>
      </c>
      <c r="B15" s="13" t="s">
        <v>57</v>
      </c>
      <c r="C15" s="13" t="s">
        <v>58</v>
      </c>
      <c r="D15" s="13" t="s">
        <v>59</v>
      </c>
    </row>
    <row r="16" customFormat="false" ht="45" hidden="false" customHeight="true" outlineLevel="0" collapsed="false">
      <c r="A16" s="14" t="s">
        <v>60</v>
      </c>
      <c r="B16" s="15" t="s">
        <v>61</v>
      </c>
      <c r="C16" s="15" t="s">
        <v>62</v>
      </c>
      <c r="D16" s="15" t="s">
        <v>63</v>
      </c>
    </row>
    <row r="17" customFormat="false" ht="45" hidden="false" customHeight="true" outlineLevel="0" collapsed="false">
      <c r="A17" s="12" t="s">
        <v>64</v>
      </c>
      <c r="B17" s="13" t="s">
        <v>65</v>
      </c>
      <c r="C17" s="13" t="s">
        <v>66</v>
      </c>
      <c r="D17" s="13" t="s">
        <v>67</v>
      </c>
    </row>
  </sheetData>
  <mergeCells count="3">
    <mergeCell ref="A1:D1"/>
    <mergeCell ref="A2:D2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13"/>
  </cols>
  <sheetData>
    <row r="1" customFormat="false" ht="30" hidden="false" customHeight="true" outlineLevel="0" collapsed="false">
      <c r="A1" s="6" t="s">
        <v>68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5" hidden="false" customHeight="false" outlineLevel="0" collapsed="false">
      <c r="A2" s="7" t="s">
        <v>69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31.5" hidden="false" customHeight="true" outlineLevel="0" collapsed="false">
      <c r="A4" s="8" t="s">
        <v>70</v>
      </c>
      <c r="B4" s="8" t="s">
        <v>33</v>
      </c>
      <c r="C4" s="8" t="s">
        <v>71</v>
      </c>
      <c r="D4" s="8" t="s">
        <v>52</v>
      </c>
      <c r="E4" s="8" t="s">
        <v>72</v>
      </c>
      <c r="F4" s="8" t="s">
        <v>73</v>
      </c>
      <c r="G4" s="8" t="s">
        <v>74</v>
      </c>
      <c r="H4" s="8" t="s">
        <v>75</v>
      </c>
      <c r="I4" s="8" t="s">
        <v>76</v>
      </c>
      <c r="J4" s="8" t="s">
        <v>77</v>
      </c>
      <c r="K4" s="8" t="s">
        <v>78</v>
      </c>
      <c r="L4" s="8" t="s">
        <v>79</v>
      </c>
    </row>
    <row r="5" customFormat="false" ht="15" hidden="false" customHeight="false" outlineLevel="0" collapsed="false">
      <c r="A5" s="16" t="str">
        <f aca="false">Setup!B5</f>
        <v>8A</v>
      </c>
      <c r="B5" s="17" t="str">
        <f aca="false">Setup!C5</f>
        <v>Teacher 1</v>
      </c>
      <c r="C5" s="9" t="n">
        <v>1</v>
      </c>
      <c r="D5" s="18" t="str">
        <f aca="false">IF(C5&lt;=3,"Block 1",IF(C5&lt;=6,"Block 2","Block 3"))</f>
        <v>Block 1</v>
      </c>
      <c r="E5" s="10"/>
      <c r="F5" s="10"/>
      <c r="G5" s="19" t="n">
        <f aca="false">MIN(10,IFERROR(E5*2,0)+IFERROR(F5*2,0))</f>
        <v>0</v>
      </c>
      <c r="H5" s="10"/>
      <c r="I5" s="10"/>
      <c r="J5" s="10"/>
      <c r="K5" s="10"/>
      <c r="L5" s="20" t="n">
        <f aca="false">G5+IF(H5&lt;&gt;"",5,0)+IF(I5&lt;&gt;"",5,0)+IF(J5&lt;&gt;"",5,0)+IF(K5&lt;&gt;"",5,0)</f>
        <v>0</v>
      </c>
    </row>
    <row r="6" customFormat="false" ht="15" hidden="false" customHeight="false" outlineLevel="0" collapsed="false">
      <c r="A6" s="16" t="str">
        <f aca="false">Setup!B5</f>
        <v>8A</v>
      </c>
      <c r="B6" s="17" t="str">
        <f aca="false">Setup!C5</f>
        <v>Teacher 1</v>
      </c>
      <c r="C6" s="9" t="n">
        <v>2</v>
      </c>
      <c r="D6" s="18" t="str">
        <f aca="false">IF(C6&lt;=3,"Block 1",IF(C6&lt;=6,"Block 2","Block 3"))</f>
        <v>Block 1</v>
      </c>
      <c r="E6" s="10"/>
      <c r="F6" s="10"/>
      <c r="G6" s="19" t="n">
        <f aca="false">MIN(10,IFERROR(E6*2,0)+IFERROR(F6*2,0))</f>
        <v>0</v>
      </c>
      <c r="H6" s="10"/>
      <c r="I6" s="10"/>
      <c r="J6" s="10"/>
      <c r="K6" s="10"/>
      <c r="L6" s="20" t="n">
        <f aca="false">G6+IF(H6&lt;&gt;"",5,0)+IF(I6&lt;&gt;"",5,0)+IF(J6&lt;&gt;"",5,0)+IF(K6&lt;&gt;"",5,0)</f>
        <v>0</v>
      </c>
    </row>
    <row r="7" customFormat="false" ht="15" hidden="false" customHeight="false" outlineLevel="0" collapsed="false">
      <c r="A7" s="16" t="str">
        <f aca="false">Setup!B5</f>
        <v>8A</v>
      </c>
      <c r="B7" s="17" t="str">
        <f aca="false">Setup!C5</f>
        <v>Teacher 1</v>
      </c>
      <c r="C7" s="9" t="n">
        <v>3</v>
      </c>
      <c r="D7" s="18" t="str">
        <f aca="false">IF(C7&lt;=3,"Block 1",IF(C7&lt;=6,"Block 2","Block 3"))</f>
        <v>Block 1</v>
      </c>
      <c r="E7" s="10"/>
      <c r="F7" s="10"/>
      <c r="G7" s="19" t="n">
        <f aca="false">MIN(10,IFERROR(E7*2,0)+IFERROR(F7*2,0))</f>
        <v>0</v>
      </c>
      <c r="H7" s="10"/>
      <c r="I7" s="10"/>
      <c r="J7" s="10"/>
      <c r="K7" s="10"/>
      <c r="L7" s="20" t="n">
        <f aca="false">G7+IF(H7&lt;&gt;"",5,0)+IF(I7&lt;&gt;"",5,0)+IF(J7&lt;&gt;"",5,0)+IF(K7&lt;&gt;"",5,0)</f>
        <v>0</v>
      </c>
    </row>
    <row r="8" customFormat="false" ht="15" hidden="false" customHeight="false" outlineLevel="0" collapsed="false">
      <c r="A8" s="16" t="str">
        <f aca="false">Setup!B5</f>
        <v>8A</v>
      </c>
      <c r="B8" s="17" t="str">
        <f aca="false">Setup!C5</f>
        <v>Teacher 1</v>
      </c>
      <c r="C8" s="9" t="n">
        <v>4</v>
      </c>
      <c r="D8" s="18" t="str">
        <f aca="false">IF(C8&lt;=3,"Block 1",IF(C8&lt;=6,"Block 2","Block 3"))</f>
        <v>Block 2</v>
      </c>
      <c r="E8" s="10"/>
      <c r="F8" s="10"/>
      <c r="G8" s="19" t="n">
        <f aca="false">MIN(10,IFERROR(E8*2,0)+IFERROR(F8*2,0))</f>
        <v>0</v>
      </c>
      <c r="H8" s="10"/>
      <c r="I8" s="10"/>
      <c r="J8" s="10"/>
      <c r="K8" s="10"/>
      <c r="L8" s="20" t="n">
        <f aca="false">G8+IF(H8&lt;&gt;"",5,0)+IF(I8&lt;&gt;"",5,0)+IF(J8&lt;&gt;"",5,0)+IF(K8&lt;&gt;"",5,0)</f>
        <v>0</v>
      </c>
    </row>
    <row r="9" customFormat="false" ht="15" hidden="false" customHeight="false" outlineLevel="0" collapsed="false">
      <c r="A9" s="16" t="str">
        <f aca="false">Setup!B5</f>
        <v>8A</v>
      </c>
      <c r="B9" s="17" t="str">
        <f aca="false">Setup!C5</f>
        <v>Teacher 1</v>
      </c>
      <c r="C9" s="9" t="n">
        <v>5</v>
      </c>
      <c r="D9" s="18" t="str">
        <f aca="false">IF(C9&lt;=3,"Block 1",IF(C9&lt;=6,"Block 2","Block 3"))</f>
        <v>Block 2</v>
      </c>
      <c r="E9" s="10"/>
      <c r="F9" s="10"/>
      <c r="G9" s="19" t="n">
        <f aca="false">MIN(10,IFERROR(E9*2,0)+IFERROR(F9*2,0))</f>
        <v>0</v>
      </c>
      <c r="H9" s="10"/>
      <c r="I9" s="10"/>
      <c r="J9" s="10"/>
      <c r="K9" s="10"/>
      <c r="L9" s="20" t="n">
        <f aca="false">G9+IF(H9&lt;&gt;"",5,0)+IF(I9&lt;&gt;"",5,0)+IF(J9&lt;&gt;"",5,0)+IF(K9&lt;&gt;"",5,0)</f>
        <v>0</v>
      </c>
    </row>
    <row r="10" customFormat="false" ht="15" hidden="false" customHeight="false" outlineLevel="0" collapsed="false">
      <c r="A10" s="16" t="str">
        <f aca="false">Setup!B5</f>
        <v>8A</v>
      </c>
      <c r="B10" s="17" t="str">
        <f aca="false">Setup!C5</f>
        <v>Teacher 1</v>
      </c>
      <c r="C10" s="9" t="n">
        <v>6</v>
      </c>
      <c r="D10" s="18" t="str">
        <f aca="false">IF(C10&lt;=3,"Block 1",IF(C10&lt;=6,"Block 2","Block 3"))</f>
        <v>Block 2</v>
      </c>
      <c r="E10" s="10"/>
      <c r="F10" s="10"/>
      <c r="G10" s="19" t="n">
        <f aca="false">MIN(10,IFERROR(E10*2,0)+IFERROR(F10*2,0))</f>
        <v>0</v>
      </c>
      <c r="H10" s="10"/>
      <c r="I10" s="10"/>
      <c r="J10" s="10"/>
      <c r="K10" s="10"/>
      <c r="L10" s="20" t="n">
        <f aca="false">G10+IF(H10&lt;&gt;"",5,0)+IF(I10&lt;&gt;"",5,0)+IF(J10&lt;&gt;"",5,0)+IF(K10&lt;&gt;"",5,0)</f>
        <v>0</v>
      </c>
    </row>
    <row r="11" customFormat="false" ht="15" hidden="false" customHeight="false" outlineLevel="0" collapsed="false">
      <c r="A11" s="16" t="str">
        <f aca="false">Setup!B5</f>
        <v>8A</v>
      </c>
      <c r="B11" s="17" t="str">
        <f aca="false">Setup!C5</f>
        <v>Teacher 1</v>
      </c>
      <c r="C11" s="9" t="n">
        <v>7</v>
      </c>
      <c r="D11" s="18" t="str">
        <f aca="false">IF(C11&lt;=3,"Block 1",IF(C11&lt;=6,"Block 2","Block 3"))</f>
        <v>Block 3</v>
      </c>
      <c r="E11" s="10"/>
      <c r="F11" s="10"/>
      <c r="G11" s="19" t="n">
        <f aca="false">MIN(10,IFERROR(E11*2,0)+IFERROR(F11*2,0))</f>
        <v>0</v>
      </c>
      <c r="H11" s="10"/>
      <c r="I11" s="10"/>
      <c r="J11" s="10"/>
      <c r="K11" s="10"/>
      <c r="L11" s="20" t="n">
        <f aca="false">G11+IF(H11&lt;&gt;"",5,0)+IF(I11&lt;&gt;"",5,0)+IF(J11&lt;&gt;"",5,0)+IF(K11&lt;&gt;"",5,0)</f>
        <v>0</v>
      </c>
    </row>
    <row r="12" customFormat="false" ht="15" hidden="false" customHeight="false" outlineLevel="0" collapsed="false">
      <c r="A12" s="16" t="str">
        <f aca="false">Setup!B5</f>
        <v>8A</v>
      </c>
      <c r="B12" s="17" t="str">
        <f aca="false">Setup!C5</f>
        <v>Teacher 1</v>
      </c>
      <c r="C12" s="9" t="n">
        <v>8</v>
      </c>
      <c r="D12" s="18" t="str">
        <f aca="false">IF(C12&lt;=3,"Block 1",IF(C12&lt;=6,"Block 2","Block 3"))</f>
        <v>Block 3</v>
      </c>
      <c r="E12" s="10"/>
      <c r="F12" s="10"/>
      <c r="G12" s="19" t="n">
        <f aca="false">MIN(10,IFERROR(E12*2,0)+IFERROR(F12*2,0))</f>
        <v>0</v>
      </c>
      <c r="H12" s="10"/>
      <c r="I12" s="10"/>
      <c r="J12" s="10"/>
      <c r="K12" s="10"/>
      <c r="L12" s="20" t="n">
        <f aca="false">G12+IF(H12&lt;&gt;"",5,0)+IF(I12&lt;&gt;"",5,0)+IF(J12&lt;&gt;"",5,0)+IF(K12&lt;&gt;"",5,0)</f>
        <v>0</v>
      </c>
    </row>
    <row r="13" customFormat="false" ht="21.75" hidden="false" customHeight="true" outlineLevel="0" collapsed="false">
      <c r="A13" s="16" t="str">
        <f aca="false">Setup!B5</f>
        <v>8A</v>
      </c>
      <c r="B13" s="17" t="str">
        <f aca="false">Setup!C5</f>
        <v>Teacher 1</v>
      </c>
      <c r="C13" s="9" t="n">
        <v>9</v>
      </c>
      <c r="D13" s="18" t="str">
        <f aca="false">IF(C13&lt;=3,"Block 1",IF(C13&lt;=6,"Block 2","Block 3"))</f>
        <v>Block 3</v>
      </c>
      <c r="E13" s="10"/>
      <c r="F13" s="10"/>
      <c r="G13" s="19" t="n">
        <f aca="false">MIN(10,IFERROR(E13*2,0)+IFERROR(F13*2,0))</f>
        <v>0</v>
      </c>
      <c r="H13" s="10"/>
      <c r="I13" s="10"/>
      <c r="J13" s="10"/>
      <c r="K13" s="10"/>
      <c r="L13" s="20" t="n">
        <f aca="false">G13+IF(H13&lt;&gt;"",5,0)+IF(I13&lt;&gt;"",5,0)+IF(J13&lt;&gt;"",5,0)+IF(K13&lt;&gt;"",5,0)</f>
        <v>0</v>
      </c>
    </row>
    <row r="14" customFormat="false" ht="15" hidden="false" customHeight="false" outlineLevel="0" collapsed="false">
      <c r="A14" s="16" t="str">
        <f aca="false">Setup!B6</f>
        <v>8B</v>
      </c>
      <c r="B14" s="17" t="str">
        <f aca="false">Setup!C6</f>
        <v>Teacher 1</v>
      </c>
      <c r="C14" s="9" t="n">
        <v>1</v>
      </c>
      <c r="D14" s="18" t="str">
        <f aca="false">IF(C14&lt;=3,"Block 1",IF(C14&lt;=6,"Block 2","Block 3"))</f>
        <v>Block 1</v>
      </c>
      <c r="E14" s="10"/>
      <c r="F14" s="10"/>
      <c r="G14" s="19" t="n">
        <f aca="false">MIN(10,IFERROR(E14*2,0)+IFERROR(F14*2,0))</f>
        <v>0</v>
      </c>
      <c r="H14" s="10"/>
      <c r="I14" s="10"/>
      <c r="J14" s="10"/>
      <c r="K14" s="10"/>
      <c r="L14" s="20" t="n">
        <f aca="false">G14+IF(H14&lt;&gt;"",5,0)+IF(I14&lt;&gt;"",5,0)+IF(J14&lt;&gt;"",5,0)+IF(K14&lt;&gt;"",5,0)</f>
        <v>0</v>
      </c>
    </row>
    <row r="15" customFormat="false" ht="15" hidden="false" customHeight="false" outlineLevel="0" collapsed="false">
      <c r="A15" s="16" t="str">
        <f aca="false">Setup!B6</f>
        <v>8B</v>
      </c>
      <c r="B15" s="17" t="str">
        <f aca="false">Setup!C6</f>
        <v>Teacher 1</v>
      </c>
      <c r="C15" s="9" t="n">
        <v>2</v>
      </c>
      <c r="D15" s="18" t="str">
        <f aca="false">IF(C15&lt;=3,"Block 1",IF(C15&lt;=6,"Block 2","Block 3"))</f>
        <v>Block 1</v>
      </c>
      <c r="E15" s="10"/>
      <c r="F15" s="10"/>
      <c r="G15" s="19" t="n">
        <f aca="false">MIN(10,IFERROR(E15*2,0)+IFERROR(F15*2,0))</f>
        <v>0</v>
      </c>
      <c r="H15" s="10"/>
      <c r="I15" s="10"/>
      <c r="J15" s="10"/>
      <c r="K15" s="10"/>
      <c r="L15" s="20" t="n">
        <f aca="false">G15+IF(H15&lt;&gt;"",5,0)+IF(I15&lt;&gt;"",5,0)+IF(J15&lt;&gt;"",5,0)+IF(K15&lt;&gt;"",5,0)</f>
        <v>0</v>
      </c>
    </row>
    <row r="16" customFormat="false" ht="15" hidden="false" customHeight="false" outlineLevel="0" collapsed="false">
      <c r="A16" s="16" t="str">
        <f aca="false">Setup!B6</f>
        <v>8B</v>
      </c>
      <c r="B16" s="17" t="str">
        <f aca="false">Setup!C6</f>
        <v>Teacher 1</v>
      </c>
      <c r="C16" s="9" t="n">
        <v>3</v>
      </c>
      <c r="D16" s="18" t="str">
        <f aca="false">IF(C16&lt;=3,"Block 1",IF(C16&lt;=6,"Block 2","Block 3"))</f>
        <v>Block 1</v>
      </c>
      <c r="E16" s="10"/>
      <c r="F16" s="10"/>
      <c r="G16" s="19" t="n">
        <f aca="false">MIN(10,IFERROR(E16*2,0)+IFERROR(F16*2,0))</f>
        <v>0</v>
      </c>
      <c r="H16" s="10"/>
      <c r="I16" s="10"/>
      <c r="J16" s="10"/>
      <c r="K16" s="10"/>
      <c r="L16" s="20" t="n">
        <f aca="false">G16+IF(H16&lt;&gt;"",5,0)+IF(I16&lt;&gt;"",5,0)+IF(J16&lt;&gt;"",5,0)+IF(K16&lt;&gt;"",5,0)</f>
        <v>0</v>
      </c>
    </row>
    <row r="17" customFormat="false" ht="15" hidden="false" customHeight="false" outlineLevel="0" collapsed="false">
      <c r="A17" s="16" t="str">
        <f aca="false">Setup!B6</f>
        <v>8B</v>
      </c>
      <c r="B17" s="17" t="str">
        <f aca="false">Setup!C6</f>
        <v>Teacher 1</v>
      </c>
      <c r="C17" s="9" t="n">
        <v>4</v>
      </c>
      <c r="D17" s="18" t="str">
        <f aca="false">IF(C17&lt;=3,"Block 1",IF(C17&lt;=6,"Block 2","Block 3"))</f>
        <v>Block 2</v>
      </c>
      <c r="E17" s="10"/>
      <c r="F17" s="10"/>
      <c r="G17" s="19" t="n">
        <f aca="false">MIN(10,IFERROR(E17*2,0)+IFERROR(F17*2,0))</f>
        <v>0</v>
      </c>
      <c r="H17" s="10"/>
      <c r="I17" s="10"/>
      <c r="J17" s="10"/>
      <c r="K17" s="10"/>
      <c r="L17" s="20" t="n">
        <f aca="false">G17+IF(H17&lt;&gt;"",5,0)+IF(I17&lt;&gt;"",5,0)+IF(J17&lt;&gt;"",5,0)+IF(K17&lt;&gt;"",5,0)</f>
        <v>0</v>
      </c>
    </row>
    <row r="18" customFormat="false" ht="15" hidden="false" customHeight="false" outlineLevel="0" collapsed="false">
      <c r="A18" s="16" t="str">
        <f aca="false">Setup!B6</f>
        <v>8B</v>
      </c>
      <c r="B18" s="17" t="str">
        <f aca="false">Setup!C6</f>
        <v>Teacher 1</v>
      </c>
      <c r="C18" s="9" t="n">
        <v>5</v>
      </c>
      <c r="D18" s="18" t="str">
        <f aca="false">IF(C18&lt;=3,"Block 1",IF(C18&lt;=6,"Block 2","Block 3"))</f>
        <v>Block 2</v>
      </c>
      <c r="E18" s="10"/>
      <c r="F18" s="10"/>
      <c r="G18" s="19" t="n">
        <f aca="false">MIN(10,IFERROR(E18*2,0)+IFERROR(F18*2,0))</f>
        <v>0</v>
      </c>
      <c r="H18" s="10"/>
      <c r="I18" s="10"/>
      <c r="J18" s="10"/>
      <c r="K18" s="10"/>
      <c r="L18" s="20" t="n">
        <f aca="false">G18+IF(H18&lt;&gt;"",5,0)+IF(I18&lt;&gt;"",5,0)+IF(J18&lt;&gt;"",5,0)+IF(K18&lt;&gt;"",5,0)</f>
        <v>0</v>
      </c>
    </row>
    <row r="19" customFormat="false" ht="15" hidden="false" customHeight="false" outlineLevel="0" collapsed="false">
      <c r="A19" s="16" t="str">
        <f aca="false">Setup!B6</f>
        <v>8B</v>
      </c>
      <c r="B19" s="17" t="str">
        <f aca="false">Setup!C6</f>
        <v>Teacher 1</v>
      </c>
      <c r="C19" s="9" t="n">
        <v>6</v>
      </c>
      <c r="D19" s="18" t="str">
        <f aca="false">IF(C19&lt;=3,"Block 1",IF(C19&lt;=6,"Block 2","Block 3"))</f>
        <v>Block 2</v>
      </c>
      <c r="E19" s="10"/>
      <c r="F19" s="10"/>
      <c r="G19" s="19" t="n">
        <f aca="false">MIN(10,IFERROR(E19*2,0)+IFERROR(F19*2,0))</f>
        <v>0</v>
      </c>
      <c r="H19" s="10"/>
      <c r="I19" s="10"/>
      <c r="J19" s="10"/>
      <c r="K19" s="10"/>
      <c r="L19" s="20" t="n">
        <f aca="false">G19+IF(H19&lt;&gt;"",5,0)+IF(I19&lt;&gt;"",5,0)+IF(J19&lt;&gt;"",5,0)+IF(K19&lt;&gt;"",5,0)</f>
        <v>0</v>
      </c>
    </row>
    <row r="20" customFormat="false" ht="15" hidden="false" customHeight="false" outlineLevel="0" collapsed="false">
      <c r="A20" s="16" t="str">
        <f aca="false">Setup!B6</f>
        <v>8B</v>
      </c>
      <c r="B20" s="17" t="str">
        <f aca="false">Setup!C6</f>
        <v>Teacher 1</v>
      </c>
      <c r="C20" s="9" t="n">
        <v>7</v>
      </c>
      <c r="D20" s="18" t="str">
        <f aca="false">IF(C20&lt;=3,"Block 1",IF(C20&lt;=6,"Block 2","Block 3"))</f>
        <v>Block 3</v>
      </c>
      <c r="E20" s="10"/>
      <c r="F20" s="10"/>
      <c r="G20" s="19" t="n">
        <f aca="false">MIN(10,IFERROR(E20*2,0)+IFERROR(F20*2,0))</f>
        <v>0</v>
      </c>
      <c r="H20" s="10"/>
      <c r="I20" s="10"/>
      <c r="J20" s="10"/>
      <c r="K20" s="10"/>
      <c r="L20" s="20" t="n">
        <f aca="false">G20+IF(H20&lt;&gt;"",5,0)+IF(I20&lt;&gt;"",5,0)+IF(J20&lt;&gt;"",5,0)+IF(K20&lt;&gt;"",5,0)</f>
        <v>0</v>
      </c>
    </row>
    <row r="21" customFormat="false" ht="15" hidden="false" customHeight="false" outlineLevel="0" collapsed="false">
      <c r="A21" s="16" t="str">
        <f aca="false">Setup!B6</f>
        <v>8B</v>
      </c>
      <c r="B21" s="17" t="str">
        <f aca="false">Setup!C6</f>
        <v>Teacher 1</v>
      </c>
      <c r="C21" s="9" t="n">
        <v>8</v>
      </c>
      <c r="D21" s="18" t="str">
        <f aca="false">IF(C21&lt;=3,"Block 1",IF(C21&lt;=6,"Block 2","Block 3"))</f>
        <v>Block 3</v>
      </c>
      <c r="E21" s="10"/>
      <c r="F21" s="10"/>
      <c r="G21" s="19" t="n">
        <f aca="false">MIN(10,IFERROR(E21*2,0)+IFERROR(F21*2,0))</f>
        <v>0</v>
      </c>
      <c r="H21" s="10"/>
      <c r="I21" s="10"/>
      <c r="J21" s="10"/>
      <c r="K21" s="10"/>
      <c r="L21" s="20" t="n">
        <f aca="false">G21+IF(H21&lt;&gt;"",5,0)+IF(I21&lt;&gt;"",5,0)+IF(J21&lt;&gt;"",5,0)+IF(K21&lt;&gt;"",5,0)</f>
        <v>0</v>
      </c>
    </row>
    <row r="22" customFormat="false" ht="21.75" hidden="false" customHeight="true" outlineLevel="0" collapsed="false">
      <c r="A22" s="16" t="str">
        <f aca="false">Setup!B6</f>
        <v>8B</v>
      </c>
      <c r="B22" s="17" t="str">
        <f aca="false">Setup!C6</f>
        <v>Teacher 1</v>
      </c>
      <c r="C22" s="9" t="n">
        <v>9</v>
      </c>
      <c r="D22" s="18" t="str">
        <f aca="false">IF(C22&lt;=3,"Block 1",IF(C22&lt;=6,"Block 2","Block 3"))</f>
        <v>Block 3</v>
      </c>
      <c r="E22" s="10"/>
      <c r="F22" s="10"/>
      <c r="G22" s="19" t="n">
        <f aca="false">MIN(10,IFERROR(E22*2,0)+IFERROR(F22*2,0))</f>
        <v>0</v>
      </c>
      <c r="H22" s="10"/>
      <c r="I22" s="10"/>
      <c r="J22" s="10"/>
      <c r="K22" s="10"/>
      <c r="L22" s="20" t="n">
        <f aca="false">G22+IF(H22&lt;&gt;"",5,0)+IF(I22&lt;&gt;"",5,0)+IF(J22&lt;&gt;"",5,0)+IF(K22&lt;&gt;"",5,0)</f>
        <v>0</v>
      </c>
    </row>
    <row r="23" customFormat="false" ht="15" hidden="false" customHeight="false" outlineLevel="0" collapsed="false">
      <c r="A23" s="16" t="str">
        <f aca="false">Setup!B7</f>
        <v>8C</v>
      </c>
      <c r="B23" s="17" t="str">
        <f aca="false">Setup!C7</f>
        <v>Teacher 2</v>
      </c>
      <c r="C23" s="9" t="n">
        <v>1</v>
      </c>
      <c r="D23" s="18" t="str">
        <f aca="false">IF(C23&lt;=3,"Block 1",IF(C23&lt;=6,"Block 2","Block 3"))</f>
        <v>Block 1</v>
      </c>
      <c r="E23" s="10"/>
      <c r="F23" s="10"/>
      <c r="G23" s="19" t="n">
        <f aca="false">MIN(10,IFERROR(E23*2,0)+IFERROR(F23*2,0))</f>
        <v>0</v>
      </c>
      <c r="H23" s="10"/>
      <c r="I23" s="10"/>
      <c r="J23" s="10"/>
      <c r="K23" s="10"/>
      <c r="L23" s="20" t="n">
        <f aca="false">G23+IF(H23&lt;&gt;"",5,0)+IF(I23&lt;&gt;"",5,0)+IF(J23&lt;&gt;"",5,0)+IF(K23&lt;&gt;"",5,0)</f>
        <v>0</v>
      </c>
    </row>
    <row r="24" customFormat="false" ht="15" hidden="false" customHeight="false" outlineLevel="0" collapsed="false">
      <c r="A24" s="16" t="str">
        <f aca="false">Setup!B7</f>
        <v>8C</v>
      </c>
      <c r="B24" s="17" t="str">
        <f aca="false">Setup!C7</f>
        <v>Teacher 2</v>
      </c>
      <c r="C24" s="9" t="n">
        <v>2</v>
      </c>
      <c r="D24" s="18" t="str">
        <f aca="false">IF(C24&lt;=3,"Block 1",IF(C24&lt;=6,"Block 2","Block 3"))</f>
        <v>Block 1</v>
      </c>
      <c r="E24" s="10"/>
      <c r="F24" s="10"/>
      <c r="G24" s="19" t="n">
        <f aca="false">MIN(10,IFERROR(E24*2,0)+IFERROR(F24*2,0))</f>
        <v>0</v>
      </c>
      <c r="H24" s="10"/>
      <c r="I24" s="10"/>
      <c r="J24" s="10"/>
      <c r="K24" s="10"/>
      <c r="L24" s="20" t="n">
        <f aca="false">G24+IF(H24&lt;&gt;"",5,0)+IF(I24&lt;&gt;"",5,0)+IF(J24&lt;&gt;"",5,0)+IF(K24&lt;&gt;"",5,0)</f>
        <v>0</v>
      </c>
    </row>
    <row r="25" customFormat="false" ht="15" hidden="false" customHeight="false" outlineLevel="0" collapsed="false">
      <c r="A25" s="16" t="str">
        <f aca="false">Setup!B7</f>
        <v>8C</v>
      </c>
      <c r="B25" s="17" t="str">
        <f aca="false">Setup!C7</f>
        <v>Teacher 2</v>
      </c>
      <c r="C25" s="9" t="n">
        <v>3</v>
      </c>
      <c r="D25" s="18" t="str">
        <f aca="false">IF(C25&lt;=3,"Block 1",IF(C25&lt;=6,"Block 2","Block 3"))</f>
        <v>Block 1</v>
      </c>
      <c r="E25" s="10"/>
      <c r="F25" s="10"/>
      <c r="G25" s="19" t="n">
        <f aca="false">MIN(10,IFERROR(E25*2,0)+IFERROR(F25*2,0))</f>
        <v>0</v>
      </c>
      <c r="H25" s="10"/>
      <c r="I25" s="10"/>
      <c r="J25" s="10"/>
      <c r="K25" s="10"/>
      <c r="L25" s="20" t="n">
        <f aca="false">G25+IF(H25&lt;&gt;"",5,0)+IF(I25&lt;&gt;"",5,0)+IF(J25&lt;&gt;"",5,0)+IF(K25&lt;&gt;"",5,0)</f>
        <v>0</v>
      </c>
    </row>
    <row r="26" customFormat="false" ht="15" hidden="false" customHeight="false" outlineLevel="0" collapsed="false">
      <c r="A26" s="16" t="str">
        <f aca="false">Setup!B7</f>
        <v>8C</v>
      </c>
      <c r="B26" s="17" t="str">
        <f aca="false">Setup!C7</f>
        <v>Teacher 2</v>
      </c>
      <c r="C26" s="9" t="n">
        <v>4</v>
      </c>
      <c r="D26" s="18" t="str">
        <f aca="false">IF(C26&lt;=3,"Block 1",IF(C26&lt;=6,"Block 2","Block 3"))</f>
        <v>Block 2</v>
      </c>
      <c r="E26" s="10"/>
      <c r="F26" s="10"/>
      <c r="G26" s="19" t="n">
        <f aca="false">MIN(10,IFERROR(E26*2,0)+IFERROR(F26*2,0))</f>
        <v>0</v>
      </c>
      <c r="H26" s="10"/>
      <c r="I26" s="10"/>
      <c r="J26" s="10"/>
      <c r="K26" s="10"/>
      <c r="L26" s="20" t="n">
        <f aca="false">G26+IF(H26&lt;&gt;"",5,0)+IF(I26&lt;&gt;"",5,0)+IF(J26&lt;&gt;"",5,0)+IF(K26&lt;&gt;"",5,0)</f>
        <v>0</v>
      </c>
    </row>
    <row r="27" customFormat="false" ht="15" hidden="false" customHeight="false" outlineLevel="0" collapsed="false">
      <c r="A27" s="16" t="str">
        <f aca="false">Setup!B7</f>
        <v>8C</v>
      </c>
      <c r="B27" s="17" t="str">
        <f aca="false">Setup!C7</f>
        <v>Teacher 2</v>
      </c>
      <c r="C27" s="9" t="n">
        <v>5</v>
      </c>
      <c r="D27" s="18" t="str">
        <f aca="false">IF(C27&lt;=3,"Block 1",IF(C27&lt;=6,"Block 2","Block 3"))</f>
        <v>Block 2</v>
      </c>
      <c r="E27" s="10"/>
      <c r="F27" s="10"/>
      <c r="G27" s="19" t="n">
        <f aca="false">MIN(10,IFERROR(E27*2,0)+IFERROR(F27*2,0))</f>
        <v>0</v>
      </c>
      <c r="H27" s="10"/>
      <c r="I27" s="10"/>
      <c r="J27" s="10"/>
      <c r="K27" s="10"/>
      <c r="L27" s="20" t="n">
        <f aca="false">G27+IF(H27&lt;&gt;"",5,0)+IF(I27&lt;&gt;"",5,0)+IF(J27&lt;&gt;"",5,0)+IF(K27&lt;&gt;"",5,0)</f>
        <v>0</v>
      </c>
    </row>
    <row r="28" customFormat="false" ht="15" hidden="false" customHeight="false" outlineLevel="0" collapsed="false">
      <c r="A28" s="16" t="str">
        <f aca="false">Setup!B7</f>
        <v>8C</v>
      </c>
      <c r="B28" s="17" t="str">
        <f aca="false">Setup!C7</f>
        <v>Teacher 2</v>
      </c>
      <c r="C28" s="9" t="n">
        <v>6</v>
      </c>
      <c r="D28" s="18" t="str">
        <f aca="false">IF(C28&lt;=3,"Block 1",IF(C28&lt;=6,"Block 2","Block 3"))</f>
        <v>Block 2</v>
      </c>
      <c r="E28" s="10"/>
      <c r="F28" s="10"/>
      <c r="G28" s="19" t="n">
        <f aca="false">MIN(10,IFERROR(E28*2,0)+IFERROR(F28*2,0))</f>
        <v>0</v>
      </c>
      <c r="H28" s="10"/>
      <c r="I28" s="10"/>
      <c r="J28" s="10"/>
      <c r="K28" s="10"/>
      <c r="L28" s="20" t="n">
        <f aca="false">G28+IF(H28&lt;&gt;"",5,0)+IF(I28&lt;&gt;"",5,0)+IF(J28&lt;&gt;"",5,0)+IF(K28&lt;&gt;"",5,0)</f>
        <v>0</v>
      </c>
    </row>
    <row r="29" customFormat="false" ht="15" hidden="false" customHeight="false" outlineLevel="0" collapsed="false">
      <c r="A29" s="16" t="str">
        <f aca="false">Setup!B7</f>
        <v>8C</v>
      </c>
      <c r="B29" s="17" t="str">
        <f aca="false">Setup!C7</f>
        <v>Teacher 2</v>
      </c>
      <c r="C29" s="9" t="n">
        <v>7</v>
      </c>
      <c r="D29" s="18" t="str">
        <f aca="false">IF(C29&lt;=3,"Block 1",IF(C29&lt;=6,"Block 2","Block 3"))</f>
        <v>Block 3</v>
      </c>
      <c r="E29" s="10"/>
      <c r="F29" s="10"/>
      <c r="G29" s="19" t="n">
        <f aca="false">MIN(10,IFERROR(E29*2,0)+IFERROR(F29*2,0))</f>
        <v>0</v>
      </c>
      <c r="H29" s="10"/>
      <c r="I29" s="10"/>
      <c r="J29" s="10"/>
      <c r="K29" s="10"/>
      <c r="L29" s="20" t="n">
        <f aca="false">G29+IF(H29&lt;&gt;"",5,0)+IF(I29&lt;&gt;"",5,0)+IF(J29&lt;&gt;"",5,0)+IF(K29&lt;&gt;"",5,0)</f>
        <v>0</v>
      </c>
    </row>
    <row r="30" customFormat="false" ht="15" hidden="false" customHeight="false" outlineLevel="0" collapsed="false">
      <c r="A30" s="16" t="str">
        <f aca="false">Setup!B7</f>
        <v>8C</v>
      </c>
      <c r="B30" s="17" t="str">
        <f aca="false">Setup!C7</f>
        <v>Teacher 2</v>
      </c>
      <c r="C30" s="9" t="n">
        <v>8</v>
      </c>
      <c r="D30" s="18" t="str">
        <f aca="false">IF(C30&lt;=3,"Block 1",IF(C30&lt;=6,"Block 2","Block 3"))</f>
        <v>Block 3</v>
      </c>
      <c r="E30" s="10"/>
      <c r="F30" s="10"/>
      <c r="G30" s="19" t="n">
        <f aca="false">MIN(10,IFERROR(E30*2,0)+IFERROR(F30*2,0))</f>
        <v>0</v>
      </c>
      <c r="H30" s="10"/>
      <c r="I30" s="10"/>
      <c r="J30" s="10"/>
      <c r="K30" s="10"/>
      <c r="L30" s="20" t="n">
        <f aca="false">G30+IF(H30&lt;&gt;"",5,0)+IF(I30&lt;&gt;"",5,0)+IF(J30&lt;&gt;"",5,0)+IF(K30&lt;&gt;"",5,0)</f>
        <v>0</v>
      </c>
    </row>
    <row r="31" customFormat="false" ht="21.75" hidden="false" customHeight="true" outlineLevel="0" collapsed="false">
      <c r="A31" s="16" t="str">
        <f aca="false">Setup!B7</f>
        <v>8C</v>
      </c>
      <c r="B31" s="17" t="str">
        <f aca="false">Setup!C7</f>
        <v>Teacher 2</v>
      </c>
      <c r="C31" s="9" t="n">
        <v>9</v>
      </c>
      <c r="D31" s="18" t="str">
        <f aca="false">IF(C31&lt;=3,"Block 1",IF(C31&lt;=6,"Block 2","Block 3"))</f>
        <v>Block 3</v>
      </c>
      <c r="E31" s="10"/>
      <c r="F31" s="10"/>
      <c r="G31" s="19" t="n">
        <f aca="false">MIN(10,IFERROR(E31*2,0)+IFERROR(F31*2,0))</f>
        <v>0</v>
      </c>
      <c r="H31" s="10"/>
      <c r="I31" s="10"/>
      <c r="J31" s="10"/>
      <c r="K31" s="10"/>
      <c r="L31" s="20" t="n">
        <f aca="false">G31+IF(H31&lt;&gt;"",5,0)+IF(I31&lt;&gt;"",5,0)+IF(J31&lt;&gt;"",5,0)+IF(K31&lt;&gt;"",5,0)</f>
        <v>0</v>
      </c>
    </row>
    <row r="32" customFormat="false" ht="15" hidden="false" customHeight="false" outlineLevel="0" collapsed="false">
      <c r="A32" s="16" t="str">
        <f aca="false">Setup!B8</f>
        <v>8D</v>
      </c>
      <c r="B32" s="17" t="str">
        <f aca="false">Setup!C8</f>
        <v>Teacher 2</v>
      </c>
      <c r="C32" s="9" t="n">
        <v>1</v>
      </c>
      <c r="D32" s="18" t="str">
        <f aca="false">IF(C32&lt;=3,"Block 1",IF(C32&lt;=6,"Block 2","Block 3"))</f>
        <v>Block 1</v>
      </c>
      <c r="E32" s="10"/>
      <c r="F32" s="10"/>
      <c r="G32" s="19" t="n">
        <f aca="false">MIN(10,IFERROR(E32*2,0)+IFERROR(F32*2,0))</f>
        <v>0</v>
      </c>
      <c r="H32" s="10"/>
      <c r="I32" s="10"/>
      <c r="J32" s="10"/>
      <c r="K32" s="10"/>
      <c r="L32" s="20" t="n">
        <f aca="false">G32+IF(H32&lt;&gt;"",5,0)+IF(I32&lt;&gt;"",5,0)+IF(J32&lt;&gt;"",5,0)+IF(K32&lt;&gt;"",5,0)</f>
        <v>0</v>
      </c>
    </row>
    <row r="33" customFormat="false" ht="15" hidden="false" customHeight="false" outlineLevel="0" collapsed="false">
      <c r="A33" s="16" t="str">
        <f aca="false">Setup!B8</f>
        <v>8D</v>
      </c>
      <c r="B33" s="17" t="str">
        <f aca="false">Setup!C8</f>
        <v>Teacher 2</v>
      </c>
      <c r="C33" s="9" t="n">
        <v>2</v>
      </c>
      <c r="D33" s="18" t="str">
        <f aca="false">IF(C33&lt;=3,"Block 1",IF(C33&lt;=6,"Block 2","Block 3"))</f>
        <v>Block 1</v>
      </c>
      <c r="E33" s="10"/>
      <c r="F33" s="10"/>
      <c r="G33" s="19" t="n">
        <f aca="false">MIN(10,IFERROR(E33*2,0)+IFERROR(F33*2,0))</f>
        <v>0</v>
      </c>
      <c r="H33" s="10"/>
      <c r="I33" s="10"/>
      <c r="J33" s="10"/>
      <c r="K33" s="10"/>
      <c r="L33" s="20" t="n">
        <f aca="false">G33+IF(H33&lt;&gt;"",5,0)+IF(I33&lt;&gt;"",5,0)+IF(J33&lt;&gt;"",5,0)+IF(K33&lt;&gt;"",5,0)</f>
        <v>0</v>
      </c>
    </row>
    <row r="34" customFormat="false" ht="15" hidden="false" customHeight="false" outlineLevel="0" collapsed="false">
      <c r="A34" s="16" t="str">
        <f aca="false">Setup!B8</f>
        <v>8D</v>
      </c>
      <c r="B34" s="17" t="str">
        <f aca="false">Setup!C8</f>
        <v>Teacher 2</v>
      </c>
      <c r="C34" s="9" t="n">
        <v>3</v>
      </c>
      <c r="D34" s="18" t="str">
        <f aca="false">IF(C34&lt;=3,"Block 1",IF(C34&lt;=6,"Block 2","Block 3"))</f>
        <v>Block 1</v>
      </c>
      <c r="E34" s="10"/>
      <c r="F34" s="10"/>
      <c r="G34" s="19" t="n">
        <f aca="false">MIN(10,IFERROR(E34*2,0)+IFERROR(F34*2,0))</f>
        <v>0</v>
      </c>
      <c r="H34" s="10"/>
      <c r="I34" s="10"/>
      <c r="J34" s="10"/>
      <c r="K34" s="10"/>
      <c r="L34" s="20" t="n">
        <f aca="false">G34+IF(H34&lt;&gt;"",5,0)+IF(I34&lt;&gt;"",5,0)+IF(J34&lt;&gt;"",5,0)+IF(K34&lt;&gt;"",5,0)</f>
        <v>0</v>
      </c>
    </row>
    <row r="35" customFormat="false" ht="15" hidden="false" customHeight="false" outlineLevel="0" collapsed="false">
      <c r="A35" s="16" t="str">
        <f aca="false">Setup!B8</f>
        <v>8D</v>
      </c>
      <c r="B35" s="17" t="str">
        <f aca="false">Setup!C8</f>
        <v>Teacher 2</v>
      </c>
      <c r="C35" s="9" t="n">
        <v>4</v>
      </c>
      <c r="D35" s="18" t="str">
        <f aca="false">IF(C35&lt;=3,"Block 1",IF(C35&lt;=6,"Block 2","Block 3"))</f>
        <v>Block 2</v>
      </c>
      <c r="E35" s="10"/>
      <c r="F35" s="10"/>
      <c r="G35" s="19" t="n">
        <f aca="false">MIN(10,IFERROR(E35*2,0)+IFERROR(F35*2,0))</f>
        <v>0</v>
      </c>
      <c r="H35" s="10"/>
      <c r="I35" s="10"/>
      <c r="J35" s="10"/>
      <c r="K35" s="10"/>
      <c r="L35" s="20" t="n">
        <f aca="false">G35+IF(H35&lt;&gt;"",5,0)+IF(I35&lt;&gt;"",5,0)+IF(J35&lt;&gt;"",5,0)+IF(K35&lt;&gt;"",5,0)</f>
        <v>0</v>
      </c>
    </row>
    <row r="36" customFormat="false" ht="15" hidden="false" customHeight="false" outlineLevel="0" collapsed="false">
      <c r="A36" s="16" t="str">
        <f aca="false">Setup!B8</f>
        <v>8D</v>
      </c>
      <c r="B36" s="17" t="str">
        <f aca="false">Setup!C8</f>
        <v>Teacher 2</v>
      </c>
      <c r="C36" s="9" t="n">
        <v>5</v>
      </c>
      <c r="D36" s="18" t="str">
        <f aca="false">IF(C36&lt;=3,"Block 1",IF(C36&lt;=6,"Block 2","Block 3"))</f>
        <v>Block 2</v>
      </c>
      <c r="E36" s="10"/>
      <c r="F36" s="10"/>
      <c r="G36" s="19" t="n">
        <f aca="false">MIN(10,IFERROR(E36*2,0)+IFERROR(F36*2,0))</f>
        <v>0</v>
      </c>
      <c r="H36" s="10"/>
      <c r="I36" s="10"/>
      <c r="J36" s="10"/>
      <c r="K36" s="10"/>
      <c r="L36" s="20" t="n">
        <f aca="false">G36+IF(H36&lt;&gt;"",5,0)+IF(I36&lt;&gt;"",5,0)+IF(J36&lt;&gt;"",5,0)+IF(K36&lt;&gt;"",5,0)</f>
        <v>0</v>
      </c>
    </row>
    <row r="37" customFormat="false" ht="15" hidden="false" customHeight="false" outlineLevel="0" collapsed="false">
      <c r="A37" s="16" t="str">
        <f aca="false">Setup!B8</f>
        <v>8D</v>
      </c>
      <c r="B37" s="17" t="str">
        <f aca="false">Setup!C8</f>
        <v>Teacher 2</v>
      </c>
      <c r="C37" s="9" t="n">
        <v>6</v>
      </c>
      <c r="D37" s="18" t="str">
        <f aca="false">IF(C37&lt;=3,"Block 1",IF(C37&lt;=6,"Block 2","Block 3"))</f>
        <v>Block 2</v>
      </c>
      <c r="E37" s="10"/>
      <c r="F37" s="10"/>
      <c r="G37" s="19" t="n">
        <f aca="false">MIN(10,IFERROR(E37*2,0)+IFERROR(F37*2,0))</f>
        <v>0</v>
      </c>
      <c r="H37" s="10"/>
      <c r="I37" s="10"/>
      <c r="J37" s="10"/>
      <c r="K37" s="10"/>
      <c r="L37" s="20" t="n">
        <f aca="false">G37+IF(H37&lt;&gt;"",5,0)+IF(I37&lt;&gt;"",5,0)+IF(J37&lt;&gt;"",5,0)+IF(K37&lt;&gt;"",5,0)</f>
        <v>0</v>
      </c>
    </row>
    <row r="38" customFormat="false" ht="15" hidden="false" customHeight="false" outlineLevel="0" collapsed="false">
      <c r="A38" s="16" t="str">
        <f aca="false">Setup!B8</f>
        <v>8D</v>
      </c>
      <c r="B38" s="17" t="str">
        <f aca="false">Setup!C8</f>
        <v>Teacher 2</v>
      </c>
      <c r="C38" s="9" t="n">
        <v>7</v>
      </c>
      <c r="D38" s="18" t="str">
        <f aca="false">IF(C38&lt;=3,"Block 1",IF(C38&lt;=6,"Block 2","Block 3"))</f>
        <v>Block 3</v>
      </c>
      <c r="E38" s="10"/>
      <c r="F38" s="10"/>
      <c r="G38" s="19" t="n">
        <f aca="false">MIN(10,IFERROR(E38*2,0)+IFERROR(F38*2,0))</f>
        <v>0</v>
      </c>
      <c r="H38" s="10"/>
      <c r="I38" s="10"/>
      <c r="J38" s="10"/>
      <c r="K38" s="10"/>
      <c r="L38" s="20" t="n">
        <f aca="false">G38+IF(H38&lt;&gt;"",5,0)+IF(I38&lt;&gt;"",5,0)+IF(J38&lt;&gt;"",5,0)+IF(K38&lt;&gt;"",5,0)</f>
        <v>0</v>
      </c>
    </row>
    <row r="39" customFormat="false" ht="15" hidden="false" customHeight="false" outlineLevel="0" collapsed="false">
      <c r="A39" s="16" t="str">
        <f aca="false">Setup!B8</f>
        <v>8D</v>
      </c>
      <c r="B39" s="17" t="str">
        <f aca="false">Setup!C8</f>
        <v>Teacher 2</v>
      </c>
      <c r="C39" s="9" t="n">
        <v>8</v>
      </c>
      <c r="D39" s="18" t="str">
        <f aca="false">IF(C39&lt;=3,"Block 1",IF(C39&lt;=6,"Block 2","Block 3"))</f>
        <v>Block 3</v>
      </c>
      <c r="E39" s="10"/>
      <c r="F39" s="10"/>
      <c r="G39" s="19" t="n">
        <f aca="false">MIN(10,IFERROR(E39*2,0)+IFERROR(F39*2,0))</f>
        <v>0</v>
      </c>
      <c r="H39" s="10"/>
      <c r="I39" s="10"/>
      <c r="J39" s="10"/>
      <c r="K39" s="10"/>
      <c r="L39" s="20" t="n">
        <f aca="false">G39+IF(H39&lt;&gt;"",5,0)+IF(I39&lt;&gt;"",5,0)+IF(J39&lt;&gt;"",5,0)+IF(K39&lt;&gt;"",5,0)</f>
        <v>0</v>
      </c>
    </row>
    <row r="40" customFormat="false" ht="21.75" hidden="false" customHeight="true" outlineLevel="0" collapsed="false">
      <c r="A40" s="16" t="str">
        <f aca="false">Setup!B8</f>
        <v>8D</v>
      </c>
      <c r="B40" s="17" t="str">
        <f aca="false">Setup!C8</f>
        <v>Teacher 2</v>
      </c>
      <c r="C40" s="9" t="n">
        <v>9</v>
      </c>
      <c r="D40" s="18" t="str">
        <f aca="false">IF(C40&lt;=3,"Block 1",IF(C40&lt;=6,"Block 2","Block 3"))</f>
        <v>Block 3</v>
      </c>
      <c r="E40" s="10"/>
      <c r="F40" s="10"/>
      <c r="G40" s="19" t="n">
        <f aca="false">MIN(10,IFERROR(E40*2,0)+IFERROR(F40*2,0))</f>
        <v>0</v>
      </c>
      <c r="H40" s="10"/>
      <c r="I40" s="10"/>
      <c r="J40" s="10"/>
      <c r="K40" s="10"/>
      <c r="L40" s="20" t="n">
        <f aca="false">G40+IF(H40&lt;&gt;"",5,0)+IF(I40&lt;&gt;"",5,0)+IF(J40&lt;&gt;"",5,0)+IF(K40&lt;&gt;"",5,0)</f>
        <v>0</v>
      </c>
    </row>
    <row r="41" customFormat="false" ht="15" hidden="false" customHeight="false" outlineLevel="0" collapsed="false">
      <c r="A41" s="16" t="str">
        <f aca="false">Setup!B9</f>
        <v>8E</v>
      </c>
      <c r="B41" s="17" t="str">
        <f aca="false">Setup!C9</f>
        <v>Teacher 3</v>
      </c>
      <c r="C41" s="9" t="n">
        <v>1</v>
      </c>
      <c r="D41" s="18" t="str">
        <f aca="false">IF(C41&lt;=3,"Block 1",IF(C41&lt;=6,"Block 2","Block 3"))</f>
        <v>Block 1</v>
      </c>
      <c r="E41" s="10"/>
      <c r="F41" s="10"/>
      <c r="G41" s="19" t="n">
        <f aca="false">MIN(10,IFERROR(E41*2,0)+IFERROR(F41*2,0))</f>
        <v>0</v>
      </c>
      <c r="H41" s="10"/>
      <c r="I41" s="10"/>
      <c r="J41" s="10"/>
      <c r="K41" s="10"/>
      <c r="L41" s="20" t="n">
        <f aca="false">G41+IF(H41&lt;&gt;"",5,0)+IF(I41&lt;&gt;"",5,0)+IF(J41&lt;&gt;"",5,0)+IF(K41&lt;&gt;"",5,0)</f>
        <v>0</v>
      </c>
    </row>
    <row r="42" customFormat="false" ht="15" hidden="false" customHeight="false" outlineLevel="0" collapsed="false">
      <c r="A42" s="16" t="str">
        <f aca="false">Setup!B9</f>
        <v>8E</v>
      </c>
      <c r="B42" s="17" t="str">
        <f aca="false">Setup!C9</f>
        <v>Teacher 3</v>
      </c>
      <c r="C42" s="9" t="n">
        <v>2</v>
      </c>
      <c r="D42" s="18" t="str">
        <f aca="false">IF(C42&lt;=3,"Block 1",IF(C42&lt;=6,"Block 2","Block 3"))</f>
        <v>Block 1</v>
      </c>
      <c r="E42" s="10"/>
      <c r="F42" s="10"/>
      <c r="G42" s="19" t="n">
        <f aca="false">MIN(10,IFERROR(E42*2,0)+IFERROR(F42*2,0))</f>
        <v>0</v>
      </c>
      <c r="H42" s="10"/>
      <c r="I42" s="10"/>
      <c r="J42" s="10"/>
      <c r="K42" s="10"/>
      <c r="L42" s="20" t="n">
        <f aca="false">G42+IF(H42&lt;&gt;"",5,0)+IF(I42&lt;&gt;"",5,0)+IF(J42&lt;&gt;"",5,0)+IF(K42&lt;&gt;"",5,0)</f>
        <v>0</v>
      </c>
    </row>
    <row r="43" customFormat="false" ht="15" hidden="false" customHeight="false" outlineLevel="0" collapsed="false">
      <c r="A43" s="16" t="str">
        <f aca="false">Setup!B9</f>
        <v>8E</v>
      </c>
      <c r="B43" s="17" t="str">
        <f aca="false">Setup!C9</f>
        <v>Teacher 3</v>
      </c>
      <c r="C43" s="9" t="n">
        <v>3</v>
      </c>
      <c r="D43" s="18" t="str">
        <f aca="false">IF(C43&lt;=3,"Block 1",IF(C43&lt;=6,"Block 2","Block 3"))</f>
        <v>Block 1</v>
      </c>
      <c r="E43" s="10"/>
      <c r="F43" s="10"/>
      <c r="G43" s="19" t="n">
        <f aca="false">MIN(10,IFERROR(E43*2,0)+IFERROR(F43*2,0))</f>
        <v>0</v>
      </c>
      <c r="H43" s="10"/>
      <c r="I43" s="10"/>
      <c r="J43" s="10"/>
      <c r="K43" s="10"/>
      <c r="L43" s="20" t="n">
        <f aca="false">G43+IF(H43&lt;&gt;"",5,0)+IF(I43&lt;&gt;"",5,0)+IF(J43&lt;&gt;"",5,0)+IF(K43&lt;&gt;"",5,0)</f>
        <v>0</v>
      </c>
    </row>
    <row r="44" customFormat="false" ht="15" hidden="false" customHeight="false" outlineLevel="0" collapsed="false">
      <c r="A44" s="16" t="str">
        <f aca="false">Setup!B9</f>
        <v>8E</v>
      </c>
      <c r="B44" s="17" t="str">
        <f aca="false">Setup!C9</f>
        <v>Teacher 3</v>
      </c>
      <c r="C44" s="9" t="n">
        <v>4</v>
      </c>
      <c r="D44" s="18" t="str">
        <f aca="false">IF(C44&lt;=3,"Block 1",IF(C44&lt;=6,"Block 2","Block 3"))</f>
        <v>Block 2</v>
      </c>
      <c r="E44" s="10"/>
      <c r="F44" s="10"/>
      <c r="G44" s="19" t="n">
        <f aca="false">MIN(10,IFERROR(E44*2,0)+IFERROR(F44*2,0))</f>
        <v>0</v>
      </c>
      <c r="H44" s="10"/>
      <c r="I44" s="10"/>
      <c r="J44" s="10"/>
      <c r="K44" s="10"/>
      <c r="L44" s="20" t="n">
        <f aca="false">G44+IF(H44&lt;&gt;"",5,0)+IF(I44&lt;&gt;"",5,0)+IF(J44&lt;&gt;"",5,0)+IF(K44&lt;&gt;"",5,0)</f>
        <v>0</v>
      </c>
    </row>
    <row r="45" customFormat="false" ht="15" hidden="false" customHeight="false" outlineLevel="0" collapsed="false">
      <c r="A45" s="16" t="str">
        <f aca="false">Setup!B9</f>
        <v>8E</v>
      </c>
      <c r="B45" s="17" t="str">
        <f aca="false">Setup!C9</f>
        <v>Teacher 3</v>
      </c>
      <c r="C45" s="9" t="n">
        <v>5</v>
      </c>
      <c r="D45" s="18" t="str">
        <f aca="false">IF(C45&lt;=3,"Block 1",IF(C45&lt;=6,"Block 2","Block 3"))</f>
        <v>Block 2</v>
      </c>
      <c r="E45" s="10"/>
      <c r="F45" s="10"/>
      <c r="G45" s="19" t="n">
        <f aca="false">MIN(10,IFERROR(E45*2,0)+IFERROR(F45*2,0))</f>
        <v>0</v>
      </c>
      <c r="H45" s="10"/>
      <c r="I45" s="10"/>
      <c r="J45" s="10"/>
      <c r="K45" s="10"/>
      <c r="L45" s="20" t="n">
        <f aca="false">G45+IF(H45&lt;&gt;"",5,0)+IF(I45&lt;&gt;"",5,0)+IF(J45&lt;&gt;"",5,0)+IF(K45&lt;&gt;"",5,0)</f>
        <v>0</v>
      </c>
    </row>
    <row r="46" customFormat="false" ht="15" hidden="false" customHeight="false" outlineLevel="0" collapsed="false">
      <c r="A46" s="16" t="str">
        <f aca="false">Setup!B9</f>
        <v>8E</v>
      </c>
      <c r="B46" s="17" t="str">
        <f aca="false">Setup!C9</f>
        <v>Teacher 3</v>
      </c>
      <c r="C46" s="9" t="n">
        <v>6</v>
      </c>
      <c r="D46" s="18" t="str">
        <f aca="false">IF(C46&lt;=3,"Block 1",IF(C46&lt;=6,"Block 2","Block 3"))</f>
        <v>Block 2</v>
      </c>
      <c r="E46" s="10"/>
      <c r="F46" s="10"/>
      <c r="G46" s="19" t="n">
        <f aca="false">MIN(10,IFERROR(E46*2,0)+IFERROR(F46*2,0))</f>
        <v>0</v>
      </c>
      <c r="H46" s="10"/>
      <c r="I46" s="10"/>
      <c r="J46" s="10"/>
      <c r="K46" s="10"/>
      <c r="L46" s="20" t="n">
        <f aca="false">G46+IF(H46&lt;&gt;"",5,0)+IF(I46&lt;&gt;"",5,0)+IF(J46&lt;&gt;"",5,0)+IF(K46&lt;&gt;"",5,0)</f>
        <v>0</v>
      </c>
    </row>
    <row r="47" customFormat="false" ht="15" hidden="false" customHeight="false" outlineLevel="0" collapsed="false">
      <c r="A47" s="16" t="str">
        <f aca="false">Setup!B9</f>
        <v>8E</v>
      </c>
      <c r="B47" s="17" t="str">
        <f aca="false">Setup!C9</f>
        <v>Teacher 3</v>
      </c>
      <c r="C47" s="9" t="n">
        <v>7</v>
      </c>
      <c r="D47" s="18" t="str">
        <f aca="false">IF(C47&lt;=3,"Block 1",IF(C47&lt;=6,"Block 2","Block 3"))</f>
        <v>Block 3</v>
      </c>
      <c r="E47" s="10"/>
      <c r="F47" s="10"/>
      <c r="G47" s="19" t="n">
        <f aca="false">MIN(10,IFERROR(E47*2,0)+IFERROR(F47*2,0))</f>
        <v>0</v>
      </c>
      <c r="H47" s="10"/>
      <c r="I47" s="10"/>
      <c r="J47" s="10"/>
      <c r="K47" s="10"/>
      <c r="L47" s="20" t="n">
        <f aca="false">G47+IF(H47&lt;&gt;"",5,0)+IF(I47&lt;&gt;"",5,0)+IF(J47&lt;&gt;"",5,0)+IF(K47&lt;&gt;"",5,0)</f>
        <v>0</v>
      </c>
    </row>
    <row r="48" customFormat="false" ht="15" hidden="false" customHeight="false" outlineLevel="0" collapsed="false">
      <c r="A48" s="16" t="str">
        <f aca="false">Setup!B9</f>
        <v>8E</v>
      </c>
      <c r="B48" s="17" t="str">
        <f aca="false">Setup!C9</f>
        <v>Teacher 3</v>
      </c>
      <c r="C48" s="9" t="n">
        <v>8</v>
      </c>
      <c r="D48" s="18" t="str">
        <f aca="false">IF(C48&lt;=3,"Block 1",IF(C48&lt;=6,"Block 2","Block 3"))</f>
        <v>Block 3</v>
      </c>
      <c r="E48" s="10"/>
      <c r="F48" s="10"/>
      <c r="G48" s="19" t="n">
        <f aca="false">MIN(10,IFERROR(E48*2,0)+IFERROR(F48*2,0))</f>
        <v>0</v>
      </c>
      <c r="H48" s="10"/>
      <c r="I48" s="10"/>
      <c r="J48" s="10"/>
      <c r="K48" s="10"/>
      <c r="L48" s="20" t="n">
        <f aca="false">G48+IF(H48&lt;&gt;"",5,0)+IF(I48&lt;&gt;"",5,0)+IF(J48&lt;&gt;"",5,0)+IF(K48&lt;&gt;"",5,0)</f>
        <v>0</v>
      </c>
    </row>
    <row r="49" customFormat="false" ht="21.75" hidden="false" customHeight="true" outlineLevel="0" collapsed="false">
      <c r="A49" s="16" t="str">
        <f aca="false">Setup!B9</f>
        <v>8E</v>
      </c>
      <c r="B49" s="17" t="str">
        <f aca="false">Setup!C9</f>
        <v>Teacher 3</v>
      </c>
      <c r="C49" s="9" t="n">
        <v>9</v>
      </c>
      <c r="D49" s="18" t="str">
        <f aca="false">IF(C49&lt;=3,"Block 1",IF(C49&lt;=6,"Block 2","Block 3"))</f>
        <v>Block 3</v>
      </c>
      <c r="E49" s="10"/>
      <c r="F49" s="10"/>
      <c r="G49" s="19" t="n">
        <f aca="false">MIN(10,IFERROR(E49*2,0)+IFERROR(F49*2,0))</f>
        <v>0</v>
      </c>
      <c r="H49" s="10"/>
      <c r="I49" s="10"/>
      <c r="J49" s="10"/>
      <c r="K49" s="10"/>
      <c r="L49" s="20" t="n">
        <f aca="false">G49+IF(H49&lt;&gt;"",5,0)+IF(I49&lt;&gt;"",5,0)+IF(J49&lt;&gt;"",5,0)+IF(K49&lt;&gt;"",5,0)</f>
        <v>0</v>
      </c>
    </row>
    <row r="50" customFormat="false" ht="15" hidden="false" customHeight="false" outlineLevel="0" collapsed="false">
      <c r="A50" s="16" t="str">
        <f aca="false">Setup!B10</f>
        <v>8F</v>
      </c>
      <c r="B50" s="17" t="str">
        <f aca="false">Setup!C10</f>
        <v>Teacher 4</v>
      </c>
      <c r="C50" s="9" t="n">
        <v>1</v>
      </c>
      <c r="D50" s="18" t="str">
        <f aca="false">IF(C50&lt;=3,"Block 1",IF(C50&lt;=6,"Block 2","Block 3"))</f>
        <v>Block 1</v>
      </c>
      <c r="E50" s="10"/>
      <c r="F50" s="10"/>
      <c r="G50" s="19" t="n">
        <f aca="false">MIN(10,IFERROR(E50*2,0)+IFERROR(F50*2,0))</f>
        <v>0</v>
      </c>
      <c r="H50" s="10"/>
      <c r="I50" s="10"/>
      <c r="J50" s="10"/>
      <c r="K50" s="10"/>
      <c r="L50" s="20" t="n">
        <f aca="false">G50+IF(H50&lt;&gt;"",5,0)+IF(I50&lt;&gt;"",5,0)+IF(J50&lt;&gt;"",5,0)+IF(K50&lt;&gt;"",5,0)</f>
        <v>0</v>
      </c>
    </row>
    <row r="51" customFormat="false" ht="15" hidden="false" customHeight="false" outlineLevel="0" collapsed="false">
      <c r="A51" s="16" t="str">
        <f aca="false">Setup!B10</f>
        <v>8F</v>
      </c>
      <c r="B51" s="17" t="str">
        <f aca="false">Setup!C10</f>
        <v>Teacher 4</v>
      </c>
      <c r="C51" s="9" t="n">
        <v>2</v>
      </c>
      <c r="D51" s="18" t="str">
        <f aca="false">IF(C51&lt;=3,"Block 1",IF(C51&lt;=6,"Block 2","Block 3"))</f>
        <v>Block 1</v>
      </c>
      <c r="E51" s="10"/>
      <c r="F51" s="10"/>
      <c r="G51" s="19" t="n">
        <f aca="false">MIN(10,IFERROR(E51*2,0)+IFERROR(F51*2,0))</f>
        <v>0</v>
      </c>
      <c r="H51" s="10"/>
      <c r="I51" s="10"/>
      <c r="J51" s="10"/>
      <c r="K51" s="10"/>
      <c r="L51" s="20" t="n">
        <f aca="false">G51+IF(H51&lt;&gt;"",5,0)+IF(I51&lt;&gt;"",5,0)+IF(J51&lt;&gt;"",5,0)+IF(K51&lt;&gt;"",5,0)</f>
        <v>0</v>
      </c>
    </row>
    <row r="52" customFormat="false" ht="15" hidden="false" customHeight="false" outlineLevel="0" collapsed="false">
      <c r="A52" s="16" t="str">
        <f aca="false">Setup!B10</f>
        <v>8F</v>
      </c>
      <c r="B52" s="17" t="str">
        <f aca="false">Setup!C10</f>
        <v>Teacher 4</v>
      </c>
      <c r="C52" s="9" t="n">
        <v>3</v>
      </c>
      <c r="D52" s="18" t="str">
        <f aca="false">IF(C52&lt;=3,"Block 1",IF(C52&lt;=6,"Block 2","Block 3"))</f>
        <v>Block 1</v>
      </c>
      <c r="E52" s="10"/>
      <c r="F52" s="10"/>
      <c r="G52" s="19" t="n">
        <f aca="false">MIN(10,IFERROR(E52*2,0)+IFERROR(F52*2,0))</f>
        <v>0</v>
      </c>
      <c r="H52" s="10"/>
      <c r="I52" s="10"/>
      <c r="J52" s="10"/>
      <c r="K52" s="10"/>
      <c r="L52" s="20" t="n">
        <f aca="false">G52+IF(H52&lt;&gt;"",5,0)+IF(I52&lt;&gt;"",5,0)+IF(J52&lt;&gt;"",5,0)+IF(K52&lt;&gt;"",5,0)</f>
        <v>0</v>
      </c>
    </row>
    <row r="53" customFormat="false" ht="15" hidden="false" customHeight="false" outlineLevel="0" collapsed="false">
      <c r="A53" s="16" t="str">
        <f aca="false">Setup!B10</f>
        <v>8F</v>
      </c>
      <c r="B53" s="17" t="str">
        <f aca="false">Setup!C10</f>
        <v>Teacher 4</v>
      </c>
      <c r="C53" s="9" t="n">
        <v>4</v>
      </c>
      <c r="D53" s="18" t="str">
        <f aca="false">IF(C53&lt;=3,"Block 1",IF(C53&lt;=6,"Block 2","Block 3"))</f>
        <v>Block 2</v>
      </c>
      <c r="E53" s="10"/>
      <c r="F53" s="10"/>
      <c r="G53" s="19" t="n">
        <f aca="false">MIN(10,IFERROR(E53*2,0)+IFERROR(F53*2,0))</f>
        <v>0</v>
      </c>
      <c r="H53" s="10"/>
      <c r="I53" s="10"/>
      <c r="J53" s="10"/>
      <c r="K53" s="10"/>
      <c r="L53" s="20" t="n">
        <f aca="false">G53+IF(H53&lt;&gt;"",5,0)+IF(I53&lt;&gt;"",5,0)+IF(J53&lt;&gt;"",5,0)+IF(K53&lt;&gt;"",5,0)</f>
        <v>0</v>
      </c>
    </row>
    <row r="54" customFormat="false" ht="15" hidden="false" customHeight="false" outlineLevel="0" collapsed="false">
      <c r="A54" s="16" t="str">
        <f aca="false">Setup!B10</f>
        <v>8F</v>
      </c>
      <c r="B54" s="17" t="str">
        <f aca="false">Setup!C10</f>
        <v>Teacher 4</v>
      </c>
      <c r="C54" s="9" t="n">
        <v>5</v>
      </c>
      <c r="D54" s="18" t="str">
        <f aca="false">IF(C54&lt;=3,"Block 1",IF(C54&lt;=6,"Block 2","Block 3"))</f>
        <v>Block 2</v>
      </c>
      <c r="E54" s="10"/>
      <c r="F54" s="10"/>
      <c r="G54" s="19" t="n">
        <f aca="false">MIN(10,IFERROR(E54*2,0)+IFERROR(F54*2,0))</f>
        <v>0</v>
      </c>
      <c r="H54" s="10"/>
      <c r="I54" s="10"/>
      <c r="J54" s="10"/>
      <c r="K54" s="10"/>
      <c r="L54" s="20" t="n">
        <f aca="false">G54+IF(H54&lt;&gt;"",5,0)+IF(I54&lt;&gt;"",5,0)+IF(J54&lt;&gt;"",5,0)+IF(K54&lt;&gt;"",5,0)</f>
        <v>0</v>
      </c>
    </row>
    <row r="55" customFormat="false" ht="15" hidden="false" customHeight="false" outlineLevel="0" collapsed="false">
      <c r="A55" s="16" t="str">
        <f aca="false">Setup!B10</f>
        <v>8F</v>
      </c>
      <c r="B55" s="17" t="str">
        <f aca="false">Setup!C10</f>
        <v>Teacher 4</v>
      </c>
      <c r="C55" s="9" t="n">
        <v>6</v>
      </c>
      <c r="D55" s="18" t="str">
        <f aca="false">IF(C55&lt;=3,"Block 1",IF(C55&lt;=6,"Block 2","Block 3"))</f>
        <v>Block 2</v>
      </c>
      <c r="E55" s="10"/>
      <c r="F55" s="10"/>
      <c r="G55" s="19" t="n">
        <f aca="false">MIN(10,IFERROR(E55*2,0)+IFERROR(F55*2,0))</f>
        <v>0</v>
      </c>
      <c r="H55" s="10"/>
      <c r="I55" s="10"/>
      <c r="J55" s="10"/>
      <c r="K55" s="10"/>
      <c r="L55" s="20" t="n">
        <f aca="false">G55+IF(H55&lt;&gt;"",5,0)+IF(I55&lt;&gt;"",5,0)+IF(J55&lt;&gt;"",5,0)+IF(K55&lt;&gt;"",5,0)</f>
        <v>0</v>
      </c>
    </row>
    <row r="56" customFormat="false" ht="15" hidden="false" customHeight="false" outlineLevel="0" collapsed="false">
      <c r="A56" s="16" t="str">
        <f aca="false">Setup!B10</f>
        <v>8F</v>
      </c>
      <c r="B56" s="17" t="str">
        <f aca="false">Setup!C10</f>
        <v>Teacher 4</v>
      </c>
      <c r="C56" s="9" t="n">
        <v>7</v>
      </c>
      <c r="D56" s="18" t="str">
        <f aca="false">IF(C56&lt;=3,"Block 1",IF(C56&lt;=6,"Block 2","Block 3"))</f>
        <v>Block 3</v>
      </c>
      <c r="E56" s="10"/>
      <c r="F56" s="10"/>
      <c r="G56" s="19" t="n">
        <f aca="false">MIN(10,IFERROR(E56*2,0)+IFERROR(F56*2,0))</f>
        <v>0</v>
      </c>
      <c r="H56" s="10"/>
      <c r="I56" s="10"/>
      <c r="J56" s="10"/>
      <c r="K56" s="10"/>
      <c r="L56" s="20" t="n">
        <f aca="false">G56+IF(H56&lt;&gt;"",5,0)+IF(I56&lt;&gt;"",5,0)+IF(J56&lt;&gt;"",5,0)+IF(K56&lt;&gt;"",5,0)</f>
        <v>0</v>
      </c>
    </row>
    <row r="57" customFormat="false" ht="15" hidden="false" customHeight="false" outlineLevel="0" collapsed="false">
      <c r="A57" s="16" t="str">
        <f aca="false">Setup!B10</f>
        <v>8F</v>
      </c>
      <c r="B57" s="17" t="str">
        <f aca="false">Setup!C10</f>
        <v>Teacher 4</v>
      </c>
      <c r="C57" s="9" t="n">
        <v>8</v>
      </c>
      <c r="D57" s="18" t="str">
        <f aca="false">IF(C57&lt;=3,"Block 1",IF(C57&lt;=6,"Block 2","Block 3"))</f>
        <v>Block 3</v>
      </c>
      <c r="E57" s="10"/>
      <c r="F57" s="10"/>
      <c r="G57" s="19" t="n">
        <f aca="false">MIN(10,IFERROR(E57*2,0)+IFERROR(F57*2,0))</f>
        <v>0</v>
      </c>
      <c r="H57" s="10"/>
      <c r="I57" s="10"/>
      <c r="J57" s="10"/>
      <c r="K57" s="10"/>
      <c r="L57" s="20" t="n">
        <f aca="false">G57+IF(H57&lt;&gt;"",5,0)+IF(I57&lt;&gt;"",5,0)+IF(J57&lt;&gt;"",5,0)+IF(K57&lt;&gt;"",5,0)</f>
        <v>0</v>
      </c>
    </row>
    <row r="58" customFormat="false" ht="21.75" hidden="false" customHeight="true" outlineLevel="0" collapsed="false">
      <c r="A58" s="16" t="str">
        <f aca="false">Setup!B10</f>
        <v>8F</v>
      </c>
      <c r="B58" s="17" t="str">
        <f aca="false">Setup!C10</f>
        <v>Teacher 4</v>
      </c>
      <c r="C58" s="9" t="n">
        <v>9</v>
      </c>
      <c r="D58" s="18" t="str">
        <f aca="false">IF(C58&lt;=3,"Block 1",IF(C58&lt;=6,"Block 2","Block 3"))</f>
        <v>Block 3</v>
      </c>
      <c r="E58" s="10"/>
      <c r="F58" s="10"/>
      <c r="G58" s="19" t="n">
        <f aca="false">MIN(10,IFERROR(E58*2,0)+IFERROR(F58*2,0))</f>
        <v>0</v>
      </c>
      <c r="H58" s="10"/>
      <c r="I58" s="10"/>
      <c r="J58" s="10"/>
      <c r="K58" s="10"/>
      <c r="L58" s="20" t="n">
        <f aca="false">G58+IF(H58&lt;&gt;"",5,0)+IF(I58&lt;&gt;"",5,0)+IF(J58&lt;&gt;"",5,0)+IF(K58&lt;&gt;"",5,0)</f>
        <v>0</v>
      </c>
    </row>
  </sheetData>
  <mergeCells count="2">
    <mergeCell ref="A1:L1"/>
    <mergeCell ref="A2:L2"/>
  </mergeCells>
  <conditionalFormatting sqref="L5:L58">
    <cfRule type="colorScale" priority="2">
      <colorScale>
        <cfvo type="num" val="0"/>
        <cfvo type="num" val="15"/>
        <cfvo type="num" val="30"/>
        <color rgb="FFF8CBAD"/>
        <color rgb="FFFFE699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6"/>
    <col collapsed="false" customWidth="true" hidden="false" outlineLevel="0" max="6" min="5" style="0" width="13"/>
    <col collapsed="false" customWidth="true" hidden="false" outlineLevel="0" max="8" min="7" style="0" width="18"/>
    <col collapsed="false" customWidth="true" hidden="false" outlineLevel="0" max="11" min="9" style="0" width="13"/>
  </cols>
  <sheetData>
    <row r="1" customFormat="false" ht="36" hidden="false" customHeight="true" outlineLevel="0" collapsed="false">
      <c r="A1" s="21" t="s">
        <v>80</v>
      </c>
      <c r="B1" s="21"/>
      <c r="C1" s="21"/>
      <c r="D1" s="21"/>
      <c r="E1" s="21"/>
      <c r="F1" s="21"/>
      <c r="G1" s="21"/>
      <c r="H1" s="21"/>
    </row>
    <row r="2" customFormat="false" ht="15" hidden="false" customHeight="false" outlineLevel="0" collapsed="false">
      <c r="A2" s="7" t="s">
        <v>81</v>
      </c>
      <c r="B2" s="7"/>
      <c r="C2" s="7"/>
      <c r="D2" s="7"/>
      <c r="E2" s="7"/>
      <c r="F2" s="7"/>
      <c r="G2" s="7"/>
      <c r="H2" s="7"/>
    </row>
    <row r="4" customFormat="false" ht="17.35" hidden="false" customHeight="false" outlineLevel="0" collapsed="false">
      <c r="A4" s="22" t="s">
        <v>82</v>
      </c>
      <c r="B4" s="22"/>
      <c r="C4" s="22"/>
      <c r="D4" s="22"/>
      <c r="E4" s="22"/>
      <c r="F4" s="22"/>
      <c r="G4" s="22"/>
      <c r="H4" s="22"/>
    </row>
    <row r="5" customFormat="false" ht="27.75" hidden="false" customHeight="true" outlineLevel="0" collapsed="false">
      <c r="A5" s="8" t="s">
        <v>83</v>
      </c>
      <c r="B5" s="8" t="s">
        <v>70</v>
      </c>
      <c r="C5" s="8" t="s">
        <v>33</v>
      </c>
      <c r="D5" s="8" t="s">
        <v>84</v>
      </c>
      <c r="E5" s="8" t="s">
        <v>74</v>
      </c>
      <c r="F5" s="8" t="s">
        <v>85</v>
      </c>
      <c r="G5" s="8" t="s">
        <v>86</v>
      </c>
      <c r="H5" s="8" t="s">
        <v>87</v>
      </c>
    </row>
    <row r="6" customFormat="false" ht="30" hidden="false" customHeight="true" outlineLevel="0" collapsed="false">
      <c r="A6" s="23" t="n">
        <f aca="false">RANK(D6,$D$6:$D$11)</f>
        <v>1</v>
      </c>
      <c r="B6" s="24" t="str">
        <f aca="false">Setup!B5</f>
        <v>8A</v>
      </c>
      <c r="C6" s="17" t="str">
        <f aca="false">Setup!C5</f>
        <v>Teacher 1</v>
      </c>
      <c r="D6" s="25" t="n">
        <f aca="false">SUM('Score Log'!L5:L13)</f>
        <v>0</v>
      </c>
      <c r="E6" s="26" t="n">
        <f aca="false">SUM('Score Log'!G5:G13)</f>
        <v>0</v>
      </c>
      <c r="F6" s="26" t="n">
        <f aca="false">D6-E6</f>
        <v>0</v>
      </c>
      <c r="G6" s="26" t="n">
        <f aca="false">COUNTIF('Score Log'!E5:E13,"&lt;&gt;")</f>
        <v>0</v>
      </c>
      <c r="H6" s="27" t="n">
        <f aca="false">IFERROR(D6/G6,0)</f>
        <v>0</v>
      </c>
    </row>
    <row r="7" customFormat="false" ht="30" hidden="false" customHeight="true" outlineLevel="0" collapsed="false">
      <c r="A7" s="23" t="n">
        <f aca="false">RANK(D7,$D$6:$D$11)</f>
        <v>1</v>
      </c>
      <c r="B7" s="24" t="str">
        <f aca="false">Setup!B6</f>
        <v>8B</v>
      </c>
      <c r="C7" s="17" t="str">
        <f aca="false">Setup!C6</f>
        <v>Teacher 1</v>
      </c>
      <c r="D7" s="25" t="n">
        <f aca="false">SUM('Score Log'!L14:L22)</f>
        <v>0</v>
      </c>
      <c r="E7" s="26" t="n">
        <f aca="false">SUM('Score Log'!G14:G22)</f>
        <v>0</v>
      </c>
      <c r="F7" s="26" t="n">
        <f aca="false">D7-E7</f>
        <v>0</v>
      </c>
      <c r="G7" s="26" t="n">
        <f aca="false">COUNTIF('Score Log'!E14:E22,"&lt;&gt;")</f>
        <v>0</v>
      </c>
      <c r="H7" s="27" t="n">
        <f aca="false">IFERROR(D7/G7,0)</f>
        <v>0</v>
      </c>
    </row>
    <row r="8" customFormat="false" ht="30" hidden="false" customHeight="true" outlineLevel="0" collapsed="false">
      <c r="A8" s="23" t="n">
        <f aca="false">RANK(D8,$D$6:$D$11)</f>
        <v>1</v>
      </c>
      <c r="B8" s="24" t="str">
        <f aca="false">Setup!B7</f>
        <v>8C</v>
      </c>
      <c r="C8" s="17" t="str">
        <f aca="false">Setup!C7</f>
        <v>Teacher 2</v>
      </c>
      <c r="D8" s="25" t="n">
        <f aca="false">SUM('Score Log'!L23:L31)</f>
        <v>0</v>
      </c>
      <c r="E8" s="26" t="n">
        <f aca="false">SUM('Score Log'!G23:G31)</f>
        <v>0</v>
      </c>
      <c r="F8" s="26" t="n">
        <f aca="false">D8-E8</f>
        <v>0</v>
      </c>
      <c r="G8" s="26" t="n">
        <f aca="false">COUNTIF('Score Log'!E23:E31,"&lt;&gt;")</f>
        <v>0</v>
      </c>
      <c r="H8" s="27" t="n">
        <f aca="false">IFERROR(D8/G8,0)</f>
        <v>0</v>
      </c>
    </row>
    <row r="9" customFormat="false" ht="30" hidden="false" customHeight="true" outlineLevel="0" collapsed="false">
      <c r="A9" s="23" t="n">
        <f aca="false">RANK(D9,$D$6:$D$11)</f>
        <v>1</v>
      </c>
      <c r="B9" s="24" t="str">
        <f aca="false">Setup!B8</f>
        <v>8D</v>
      </c>
      <c r="C9" s="17" t="str">
        <f aca="false">Setup!C8</f>
        <v>Teacher 2</v>
      </c>
      <c r="D9" s="25" t="n">
        <f aca="false">SUM('Score Log'!L32:L40)</f>
        <v>0</v>
      </c>
      <c r="E9" s="26" t="n">
        <f aca="false">SUM('Score Log'!G32:G40)</f>
        <v>0</v>
      </c>
      <c r="F9" s="26" t="n">
        <f aca="false">D9-E9</f>
        <v>0</v>
      </c>
      <c r="G9" s="26" t="n">
        <f aca="false">COUNTIF('Score Log'!E32:E40,"&lt;&gt;")</f>
        <v>0</v>
      </c>
      <c r="H9" s="27" t="n">
        <f aca="false">IFERROR(D9/G9,0)</f>
        <v>0</v>
      </c>
    </row>
    <row r="10" customFormat="false" ht="30" hidden="false" customHeight="true" outlineLevel="0" collapsed="false">
      <c r="A10" s="23" t="n">
        <f aca="false">RANK(D10,$D$6:$D$11)</f>
        <v>1</v>
      </c>
      <c r="B10" s="24" t="str">
        <f aca="false">Setup!B9</f>
        <v>8E</v>
      </c>
      <c r="C10" s="17" t="str">
        <f aca="false">Setup!C9</f>
        <v>Teacher 3</v>
      </c>
      <c r="D10" s="25" t="n">
        <f aca="false">SUM('Score Log'!L41:L49)</f>
        <v>0</v>
      </c>
      <c r="E10" s="26" t="n">
        <f aca="false">SUM('Score Log'!G41:G49)</f>
        <v>0</v>
      </c>
      <c r="F10" s="26" t="n">
        <f aca="false">D10-E10</f>
        <v>0</v>
      </c>
      <c r="G10" s="26" t="n">
        <f aca="false">COUNTIF('Score Log'!E41:E49,"&lt;&gt;")</f>
        <v>0</v>
      </c>
      <c r="H10" s="27" t="n">
        <f aca="false">IFERROR(D10/G10,0)</f>
        <v>0</v>
      </c>
    </row>
    <row r="11" customFormat="false" ht="30" hidden="false" customHeight="true" outlineLevel="0" collapsed="false">
      <c r="A11" s="23" t="n">
        <f aca="false">RANK(D11,$D$6:$D$11)</f>
        <v>1</v>
      </c>
      <c r="B11" s="24" t="str">
        <f aca="false">Setup!B10</f>
        <v>8F</v>
      </c>
      <c r="C11" s="17" t="str">
        <f aca="false">Setup!C10</f>
        <v>Teacher 4</v>
      </c>
      <c r="D11" s="25" t="n">
        <f aca="false">SUM('Score Log'!L50:L58)</f>
        <v>0</v>
      </c>
      <c r="E11" s="26" t="n">
        <f aca="false">SUM('Score Log'!G50:G58)</f>
        <v>0</v>
      </c>
      <c r="F11" s="26" t="n">
        <f aca="false">D11-E11</f>
        <v>0</v>
      </c>
      <c r="G11" s="26" t="n">
        <f aca="false">COUNTIF('Score Log'!E50:E58,"&lt;&gt;")</f>
        <v>0</v>
      </c>
      <c r="H11" s="27" t="n">
        <f aca="false">IFERROR(D11/G11,0)</f>
        <v>0</v>
      </c>
    </row>
    <row r="35" customFormat="false" ht="17.35" hidden="false" customHeight="false" outlineLevel="0" collapsed="false">
      <c r="A35" s="22" t="s">
        <v>88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</row>
    <row r="36" customFormat="false" ht="15" hidden="false" customHeight="false" outlineLevel="0" collapsed="false">
      <c r="A36" s="8" t="s">
        <v>70</v>
      </c>
      <c r="B36" s="8" t="s">
        <v>89</v>
      </c>
      <c r="C36" s="8" t="s">
        <v>90</v>
      </c>
      <c r="D36" s="8" t="s">
        <v>91</v>
      </c>
      <c r="E36" s="8" t="s">
        <v>92</v>
      </c>
      <c r="F36" s="8" t="s">
        <v>93</v>
      </c>
      <c r="G36" s="8" t="s">
        <v>94</v>
      </c>
      <c r="H36" s="8" t="s">
        <v>95</v>
      </c>
      <c r="I36" s="8" t="s">
        <v>96</v>
      </c>
      <c r="J36" s="8" t="s">
        <v>97</v>
      </c>
      <c r="K36" s="8" t="s">
        <v>98</v>
      </c>
    </row>
    <row r="37" customFormat="false" ht="15" hidden="false" customHeight="false" outlineLevel="0" collapsed="false">
      <c r="A37" s="16" t="str">
        <f aca="false">Setup!B5</f>
        <v>8A</v>
      </c>
      <c r="B37" s="26" t="n">
        <f aca="false">'Score Log'!L5</f>
        <v>0</v>
      </c>
      <c r="C37" s="26" t="n">
        <f aca="false">'Score Log'!L6</f>
        <v>0</v>
      </c>
      <c r="D37" s="26" t="n">
        <f aca="false">'Score Log'!L7</f>
        <v>0</v>
      </c>
      <c r="E37" s="26" t="n">
        <f aca="false">'Score Log'!L8</f>
        <v>0</v>
      </c>
      <c r="F37" s="26" t="n">
        <f aca="false">'Score Log'!L9</f>
        <v>0</v>
      </c>
      <c r="G37" s="26" t="n">
        <f aca="false">'Score Log'!L10</f>
        <v>0</v>
      </c>
      <c r="H37" s="26" t="n">
        <f aca="false">'Score Log'!L11</f>
        <v>0</v>
      </c>
      <c r="I37" s="26" t="n">
        <f aca="false">'Score Log'!L12</f>
        <v>0</v>
      </c>
      <c r="J37" s="26" t="n">
        <f aca="false">'Score Log'!L13</f>
        <v>0</v>
      </c>
      <c r="K37" s="28" t="n">
        <f aca="false">SUM(B37:J37)</f>
        <v>0</v>
      </c>
    </row>
    <row r="38" customFormat="false" ht="15" hidden="false" customHeight="false" outlineLevel="0" collapsed="false">
      <c r="A38" s="16" t="str">
        <f aca="false">Setup!B6</f>
        <v>8B</v>
      </c>
      <c r="B38" s="26" t="n">
        <f aca="false">'Score Log'!L14</f>
        <v>0</v>
      </c>
      <c r="C38" s="26" t="n">
        <f aca="false">'Score Log'!L15</f>
        <v>0</v>
      </c>
      <c r="D38" s="26" t="n">
        <f aca="false">'Score Log'!L16</f>
        <v>0</v>
      </c>
      <c r="E38" s="26" t="n">
        <f aca="false">'Score Log'!L17</f>
        <v>0</v>
      </c>
      <c r="F38" s="26" t="n">
        <f aca="false">'Score Log'!L18</f>
        <v>0</v>
      </c>
      <c r="G38" s="26" t="n">
        <f aca="false">'Score Log'!L19</f>
        <v>0</v>
      </c>
      <c r="H38" s="26" t="n">
        <f aca="false">'Score Log'!L20</f>
        <v>0</v>
      </c>
      <c r="I38" s="26" t="n">
        <f aca="false">'Score Log'!L21</f>
        <v>0</v>
      </c>
      <c r="J38" s="26" t="n">
        <f aca="false">'Score Log'!L22</f>
        <v>0</v>
      </c>
      <c r="K38" s="28" t="n">
        <f aca="false">SUM(B38:J38)</f>
        <v>0</v>
      </c>
    </row>
    <row r="39" customFormat="false" ht="15" hidden="false" customHeight="false" outlineLevel="0" collapsed="false">
      <c r="A39" s="16" t="str">
        <f aca="false">Setup!B7</f>
        <v>8C</v>
      </c>
      <c r="B39" s="26" t="n">
        <f aca="false">'Score Log'!L23</f>
        <v>0</v>
      </c>
      <c r="C39" s="26" t="n">
        <f aca="false">'Score Log'!L24</f>
        <v>0</v>
      </c>
      <c r="D39" s="26" t="n">
        <f aca="false">'Score Log'!L25</f>
        <v>0</v>
      </c>
      <c r="E39" s="26" t="n">
        <f aca="false">'Score Log'!L26</f>
        <v>0</v>
      </c>
      <c r="F39" s="26" t="n">
        <f aca="false">'Score Log'!L27</f>
        <v>0</v>
      </c>
      <c r="G39" s="26" t="n">
        <f aca="false">'Score Log'!L28</f>
        <v>0</v>
      </c>
      <c r="H39" s="26" t="n">
        <f aca="false">'Score Log'!L29</f>
        <v>0</v>
      </c>
      <c r="I39" s="26" t="n">
        <f aca="false">'Score Log'!L30</f>
        <v>0</v>
      </c>
      <c r="J39" s="26" t="n">
        <f aca="false">'Score Log'!L31</f>
        <v>0</v>
      </c>
      <c r="K39" s="28" t="n">
        <f aca="false">SUM(B39:J39)</f>
        <v>0</v>
      </c>
    </row>
    <row r="40" customFormat="false" ht="15" hidden="false" customHeight="false" outlineLevel="0" collapsed="false">
      <c r="A40" s="16" t="str">
        <f aca="false">Setup!B8</f>
        <v>8D</v>
      </c>
      <c r="B40" s="26" t="n">
        <f aca="false">'Score Log'!L32</f>
        <v>0</v>
      </c>
      <c r="C40" s="26" t="n">
        <f aca="false">'Score Log'!L33</f>
        <v>0</v>
      </c>
      <c r="D40" s="26" t="n">
        <f aca="false">'Score Log'!L34</f>
        <v>0</v>
      </c>
      <c r="E40" s="26" t="n">
        <f aca="false">'Score Log'!L35</f>
        <v>0</v>
      </c>
      <c r="F40" s="26" t="n">
        <f aca="false">'Score Log'!L36</f>
        <v>0</v>
      </c>
      <c r="G40" s="26" t="n">
        <f aca="false">'Score Log'!L37</f>
        <v>0</v>
      </c>
      <c r="H40" s="26" t="n">
        <f aca="false">'Score Log'!L38</f>
        <v>0</v>
      </c>
      <c r="I40" s="26" t="n">
        <f aca="false">'Score Log'!L39</f>
        <v>0</v>
      </c>
      <c r="J40" s="26" t="n">
        <f aca="false">'Score Log'!L40</f>
        <v>0</v>
      </c>
      <c r="K40" s="28" t="n">
        <f aca="false">SUM(B40:J40)</f>
        <v>0</v>
      </c>
    </row>
    <row r="41" customFormat="false" ht="15" hidden="false" customHeight="false" outlineLevel="0" collapsed="false">
      <c r="A41" s="16" t="str">
        <f aca="false">Setup!B9</f>
        <v>8E</v>
      </c>
      <c r="B41" s="26" t="n">
        <f aca="false">'Score Log'!L41</f>
        <v>0</v>
      </c>
      <c r="C41" s="26" t="n">
        <f aca="false">'Score Log'!L42</f>
        <v>0</v>
      </c>
      <c r="D41" s="26" t="n">
        <f aca="false">'Score Log'!L43</f>
        <v>0</v>
      </c>
      <c r="E41" s="26" t="n">
        <f aca="false">'Score Log'!L44</f>
        <v>0</v>
      </c>
      <c r="F41" s="26" t="n">
        <f aca="false">'Score Log'!L45</f>
        <v>0</v>
      </c>
      <c r="G41" s="26" t="n">
        <f aca="false">'Score Log'!L46</f>
        <v>0</v>
      </c>
      <c r="H41" s="26" t="n">
        <f aca="false">'Score Log'!L47</f>
        <v>0</v>
      </c>
      <c r="I41" s="26" t="n">
        <f aca="false">'Score Log'!L48</f>
        <v>0</v>
      </c>
      <c r="J41" s="26" t="n">
        <f aca="false">'Score Log'!L49</f>
        <v>0</v>
      </c>
      <c r="K41" s="28" t="n">
        <f aca="false">SUM(B41:J41)</f>
        <v>0</v>
      </c>
    </row>
    <row r="42" customFormat="false" ht="15" hidden="false" customHeight="false" outlineLevel="0" collapsed="false">
      <c r="A42" s="16" t="str">
        <f aca="false">Setup!B10</f>
        <v>8F</v>
      </c>
      <c r="B42" s="26" t="n">
        <f aca="false">'Score Log'!L50</f>
        <v>0</v>
      </c>
      <c r="C42" s="26" t="n">
        <f aca="false">'Score Log'!L51</f>
        <v>0</v>
      </c>
      <c r="D42" s="26" t="n">
        <f aca="false">'Score Log'!L52</f>
        <v>0</v>
      </c>
      <c r="E42" s="26" t="n">
        <f aca="false">'Score Log'!L53</f>
        <v>0</v>
      </c>
      <c r="F42" s="26" t="n">
        <f aca="false">'Score Log'!L54</f>
        <v>0</v>
      </c>
      <c r="G42" s="26" t="n">
        <f aca="false">'Score Log'!L55</f>
        <v>0</v>
      </c>
      <c r="H42" s="26" t="n">
        <f aca="false">'Score Log'!L56</f>
        <v>0</v>
      </c>
      <c r="I42" s="26" t="n">
        <f aca="false">'Score Log'!L57</f>
        <v>0</v>
      </c>
      <c r="J42" s="26" t="n">
        <f aca="false">'Score Log'!L58</f>
        <v>0</v>
      </c>
      <c r="K42" s="28" t="n">
        <f aca="false">SUM(B42:J42)</f>
        <v>0</v>
      </c>
    </row>
  </sheetData>
  <mergeCells count="4">
    <mergeCell ref="A1:H1"/>
    <mergeCell ref="A2:H2"/>
    <mergeCell ref="A4:H4"/>
    <mergeCell ref="A35:K35"/>
  </mergeCells>
  <conditionalFormatting sqref="D6:D11">
    <cfRule type="colorScale" priority="2">
      <colorScale>
        <cfvo type="min" val="0"/>
        <cfvo type="percentile" val="50"/>
        <cfvo type="max" val="0"/>
        <color rgb="FFF8CBAD"/>
        <color rgb="FFFFE699"/>
        <color rgb="FFC6EFCE"/>
      </colorScale>
    </cfRule>
  </conditionalFormatting>
  <conditionalFormatting sqref="A6:A11">
    <cfRule type="cellIs" priority="3" operator="equal" aboveAverage="0" equalAverage="0" bottom="0" percent="0" rank="0" text="" dxfId="0">
      <formula>1</formula>
    </cfRule>
  </conditionalFormatting>
  <conditionalFormatting sqref="B37:J42">
    <cfRule type="colorScale" priority="4">
      <colorScale>
        <cfvo type="num" val="0"/>
        <cfvo type="num" val="15"/>
        <cfvo type="num" val="30"/>
        <color rgb="FFF8CBAD"/>
        <color rgb="FFFFE699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11" min="6" style="0" width="14"/>
  </cols>
  <sheetData>
    <row r="1" customFormat="false" ht="30" hidden="false" customHeight="true" outlineLevel="0" collapsed="false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</row>
    <row r="3" customFormat="false" ht="15" hidden="false" customHeight="false" outlineLevel="0" collapsed="false">
      <c r="A3" s="29" t="s">
        <v>100</v>
      </c>
      <c r="B3" s="30" t="s">
        <v>36</v>
      </c>
      <c r="C3" s="7" t="s">
        <v>101</v>
      </c>
      <c r="D3" s="7"/>
      <c r="E3" s="7"/>
      <c r="F3" s="7"/>
      <c r="G3" s="7"/>
      <c r="H3" s="7"/>
      <c r="I3" s="7"/>
      <c r="J3" s="7"/>
      <c r="K3" s="7"/>
    </row>
    <row r="5" customFormat="false" ht="31.5" hidden="false" customHeight="true" outlineLevel="0" collapsed="false">
      <c r="A5" s="8" t="s">
        <v>71</v>
      </c>
      <c r="B5" s="8" t="s">
        <v>52</v>
      </c>
      <c r="C5" s="8" t="s">
        <v>72</v>
      </c>
      <c r="D5" s="8" t="s">
        <v>73</v>
      </c>
      <c r="E5" s="8" t="s">
        <v>74</v>
      </c>
      <c r="F5" s="8" t="s">
        <v>75</v>
      </c>
      <c r="G5" s="8" t="s">
        <v>76</v>
      </c>
      <c r="H5" s="8" t="s">
        <v>77</v>
      </c>
      <c r="I5" s="8" t="s">
        <v>78</v>
      </c>
      <c r="J5" s="8" t="s">
        <v>102</v>
      </c>
      <c r="K5" s="8" t="s">
        <v>103</v>
      </c>
    </row>
    <row r="6" customFormat="false" ht="15" hidden="false" customHeight="false" outlineLevel="0" collapsed="false">
      <c r="A6" s="9" t="n">
        <v>1</v>
      </c>
      <c r="B6" s="18" t="str">
        <f aca="false">IF(A6&lt;=3,"Block 1",IF(A6&lt;=6,"Block 2","Block 3"))</f>
        <v>Block 1</v>
      </c>
      <c r="C6" s="31" t="n">
        <f aca="false">IFERROR(SUMIFS('Score Log'!E:E,'Score Log'!A:A,$B$3,'Score Log'!C:C,A6),"")</f>
        <v>0</v>
      </c>
      <c r="D6" s="31" t="n">
        <f aca="false">IFERROR(SUMIFS('Score Log'!F:F,'Score Log'!A:A,$B$3,'Score Log'!C:C,A6),"")</f>
        <v>0</v>
      </c>
      <c r="E6" s="31" t="n">
        <f aca="false">IFERROR(SUMIFS('Score Log'!G:G,'Score Log'!A:A,$B$3,'Score Log'!C:C,A6),"")</f>
        <v>0</v>
      </c>
      <c r="F6" s="32" t="n">
        <f aca="false">IFERROR(INDEX('Score Log'!H:H,MATCH($B$3,'Score Log'!A:A,0)+A6-1),"")</f>
        <v>0</v>
      </c>
      <c r="G6" s="32" t="n">
        <f aca="false">IFERROR(INDEX('Score Log'!I:I,MATCH($B$3,'Score Log'!A:A,0)+A6-1),"")</f>
        <v>0</v>
      </c>
      <c r="H6" s="32" t="n">
        <f aca="false">IFERROR(INDEX('Score Log'!J:J,MATCH($B$3,'Score Log'!A:A,0)+A6-1),"")</f>
        <v>0</v>
      </c>
      <c r="I6" s="32" t="n">
        <f aca="false">IFERROR(INDEX('Score Log'!K:K,MATCH($B$3,'Score Log'!A:A,0)+A6-1),"")</f>
        <v>0</v>
      </c>
      <c r="J6" s="28" t="n">
        <f aca="false">IFERROR(INDEX('Score Log'!L:L,MATCH($B$3,'Score Log'!A:A,0)+A6-1),"")</f>
        <v>0</v>
      </c>
      <c r="K6" s="33" t="n">
        <f aca="false">IFERROR(J6,"")</f>
        <v>0</v>
      </c>
    </row>
    <row r="7" customFormat="false" ht="15" hidden="false" customHeight="false" outlineLevel="0" collapsed="false">
      <c r="A7" s="9" t="n">
        <v>2</v>
      </c>
      <c r="B7" s="18" t="str">
        <f aca="false">IF(A7&lt;=3,"Block 1",IF(A7&lt;=6,"Block 2","Block 3"))</f>
        <v>Block 1</v>
      </c>
      <c r="C7" s="31" t="n">
        <f aca="false">IFERROR(SUMIFS('Score Log'!E:E,'Score Log'!A:A,$B$3,'Score Log'!C:C,A7),"")</f>
        <v>0</v>
      </c>
      <c r="D7" s="31" t="n">
        <f aca="false">IFERROR(SUMIFS('Score Log'!F:F,'Score Log'!A:A,$B$3,'Score Log'!C:C,A7),"")</f>
        <v>0</v>
      </c>
      <c r="E7" s="31" t="n">
        <f aca="false">IFERROR(SUMIFS('Score Log'!G:G,'Score Log'!A:A,$B$3,'Score Log'!C:C,A7),"")</f>
        <v>0</v>
      </c>
      <c r="F7" s="32" t="n">
        <f aca="false">IFERROR(INDEX('Score Log'!H:H,MATCH($B$3,'Score Log'!A:A,0)+A7-1),"")</f>
        <v>0</v>
      </c>
      <c r="G7" s="32" t="n">
        <f aca="false">IFERROR(INDEX('Score Log'!I:I,MATCH($B$3,'Score Log'!A:A,0)+A7-1),"")</f>
        <v>0</v>
      </c>
      <c r="H7" s="32" t="n">
        <f aca="false">IFERROR(INDEX('Score Log'!J:J,MATCH($B$3,'Score Log'!A:A,0)+A7-1),"")</f>
        <v>0</v>
      </c>
      <c r="I7" s="32" t="n">
        <f aca="false">IFERROR(INDEX('Score Log'!K:K,MATCH($B$3,'Score Log'!A:A,0)+A7-1),"")</f>
        <v>0</v>
      </c>
      <c r="J7" s="28" t="n">
        <f aca="false">IFERROR(INDEX('Score Log'!L:L,MATCH($B$3,'Score Log'!A:A,0)+A7-1),"")</f>
        <v>0</v>
      </c>
      <c r="K7" s="33" t="n">
        <f aca="false">IFERROR(K6+J7,"")</f>
        <v>0</v>
      </c>
    </row>
    <row r="8" customFormat="false" ht="15" hidden="false" customHeight="false" outlineLevel="0" collapsed="false">
      <c r="A8" s="9" t="n">
        <v>3</v>
      </c>
      <c r="B8" s="18" t="str">
        <f aca="false">IF(A8&lt;=3,"Block 1",IF(A8&lt;=6,"Block 2","Block 3"))</f>
        <v>Block 1</v>
      </c>
      <c r="C8" s="31" t="n">
        <f aca="false">IFERROR(SUMIFS('Score Log'!E:E,'Score Log'!A:A,$B$3,'Score Log'!C:C,A8),"")</f>
        <v>0</v>
      </c>
      <c r="D8" s="31" t="n">
        <f aca="false">IFERROR(SUMIFS('Score Log'!F:F,'Score Log'!A:A,$B$3,'Score Log'!C:C,A8),"")</f>
        <v>0</v>
      </c>
      <c r="E8" s="31" t="n">
        <f aca="false">IFERROR(SUMIFS('Score Log'!G:G,'Score Log'!A:A,$B$3,'Score Log'!C:C,A8),"")</f>
        <v>0</v>
      </c>
      <c r="F8" s="32" t="n">
        <f aca="false">IFERROR(INDEX('Score Log'!H:H,MATCH($B$3,'Score Log'!A:A,0)+A8-1),"")</f>
        <v>0</v>
      </c>
      <c r="G8" s="32" t="n">
        <f aca="false">IFERROR(INDEX('Score Log'!I:I,MATCH($B$3,'Score Log'!A:A,0)+A8-1),"")</f>
        <v>0</v>
      </c>
      <c r="H8" s="32" t="n">
        <f aca="false">IFERROR(INDEX('Score Log'!J:J,MATCH($B$3,'Score Log'!A:A,0)+A8-1),"")</f>
        <v>0</v>
      </c>
      <c r="I8" s="32" t="n">
        <f aca="false">IFERROR(INDEX('Score Log'!K:K,MATCH($B$3,'Score Log'!A:A,0)+A8-1),"")</f>
        <v>0</v>
      </c>
      <c r="J8" s="28" t="n">
        <f aca="false">IFERROR(INDEX('Score Log'!L:L,MATCH($B$3,'Score Log'!A:A,0)+A8-1),"")</f>
        <v>0</v>
      </c>
      <c r="K8" s="33" t="n">
        <f aca="false">IFERROR(K7+J8,"")</f>
        <v>0</v>
      </c>
    </row>
    <row r="9" customFormat="false" ht="15" hidden="false" customHeight="false" outlineLevel="0" collapsed="false">
      <c r="A9" s="9" t="n">
        <v>4</v>
      </c>
      <c r="B9" s="18" t="str">
        <f aca="false">IF(A9&lt;=3,"Block 1",IF(A9&lt;=6,"Block 2","Block 3"))</f>
        <v>Block 2</v>
      </c>
      <c r="C9" s="31" t="n">
        <f aca="false">IFERROR(SUMIFS('Score Log'!E:E,'Score Log'!A:A,$B$3,'Score Log'!C:C,A9),"")</f>
        <v>0</v>
      </c>
      <c r="D9" s="31" t="n">
        <f aca="false">IFERROR(SUMIFS('Score Log'!F:F,'Score Log'!A:A,$B$3,'Score Log'!C:C,A9),"")</f>
        <v>0</v>
      </c>
      <c r="E9" s="31" t="n">
        <f aca="false">IFERROR(SUMIFS('Score Log'!G:G,'Score Log'!A:A,$B$3,'Score Log'!C:C,A9),"")</f>
        <v>0</v>
      </c>
      <c r="F9" s="32" t="n">
        <f aca="false">IFERROR(INDEX('Score Log'!H:H,MATCH($B$3,'Score Log'!A:A,0)+A9-1),"")</f>
        <v>0</v>
      </c>
      <c r="G9" s="32" t="n">
        <f aca="false">IFERROR(INDEX('Score Log'!I:I,MATCH($B$3,'Score Log'!A:A,0)+A9-1),"")</f>
        <v>0</v>
      </c>
      <c r="H9" s="32" t="n">
        <f aca="false">IFERROR(INDEX('Score Log'!J:J,MATCH($B$3,'Score Log'!A:A,0)+A9-1),"")</f>
        <v>0</v>
      </c>
      <c r="I9" s="32" t="n">
        <f aca="false">IFERROR(INDEX('Score Log'!K:K,MATCH($B$3,'Score Log'!A:A,0)+A9-1),"")</f>
        <v>0</v>
      </c>
      <c r="J9" s="28" t="n">
        <f aca="false">IFERROR(INDEX('Score Log'!L:L,MATCH($B$3,'Score Log'!A:A,0)+A9-1),"")</f>
        <v>0</v>
      </c>
      <c r="K9" s="33" t="n">
        <f aca="false">IFERROR(K8+J9,"")</f>
        <v>0</v>
      </c>
    </row>
    <row r="10" customFormat="false" ht="15" hidden="false" customHeight="false" outlineLevel="0" collapsed="false">
      <c r="A10" s="9" t="n">
        <v>5</v>
      </c>
      <c r="B10" s="18" t="str">
        <f aca="false">IF(A10&lt;=3,"Block 1",IF(A10&lt;=6,"Block 2","Block 3"))</f>
        <v>Block 2</v>
      </c>
      <c r="C10" s="31" t="n">
        <f aca="false">IFERROR(SUMIFS('Score Log'!E:E,'Score Log'!A:A,$B$3,'Score Log'!C:C,A10),"")</f>
        <v>0</v>
      </c>
      <c r="D10" s="31" t="n">
        <f aca="false">IFERROR(SUMIFS('Score Log'!F:F,'Score Log'!A:A,$B$3,'Score Log'!C:C,A10),"")</f>
        <v>0</v>
      </c>
      <c r="E10" s="31" t="n">
        <f aca="false">IFERROR(SUMIFS('Score Log'!G:G,'Score Log'!A:A,$B$3,'Score Log'!C:C,A10),"")</f>
        <v>0</v>
      </c>
      <c r="F10" s="32" t="n">
        <f aca="false">IFERROR(INDEX('Score Log'!H:H,MATCH($B$3,'Score Log'!A:A,0)+A10-1),"")</f>
        <v>0</v>
      </c>
      <c r="G10" s="32" t="n">
        <f aca="false">IFERROR(INDEX('Score Log'!I:I,MATCH($B$3,'Score Log'!A:A,0)+A10-1),"")</f>
        <v>0</v>
      </c>
      <c r="H10" s="32" t="n">
        <f aca="false">IFERROR(INDEX('Score Log'!J:J,MATCH($B$3,'Score Log'!A:A,0)+A10-1),"")</f>
        <v>0</v>
      </c>
      <c r="I10" s="32" t="n">
        <f aca="false">IFERROR(INDEX('Score Log'!K:K,MATCH($B$3,'Score Log'!A:A,0)+A10-1),"")</f>
        <v>0</v>
      </c>
      <c r="J10" s="28" t="n">
        <f aca="false">IFERROR(INDEX('Score Log'!L:L,MATCH($B$3,'Score Log'!A:A,0)+A10-1),"")</f>
        <v>0</v>
      </c>
      <c r="K10" s="33" t="n">
        <f aca="false">IFERROR(K9+J10,"")</f>
        <v>0</v>
      </c>
    </row>
    <row r="11" customFormat="false" ht="15" hidden="false" customHeight="false" outlineLevel="0" collapsed="false">
      <c r="A11" s="9" t="n">
        <v>6</v>
      </c>
      <c r="B11" s="18" t="str">
        <f aca="false">IF(A11&lt;=3,"Block 1",IF(A11&lt;=6,"Block 2","Block 3"))</f>
        <v>Block 2</v>
      </c>
      <c r="C11" s="31" t="n">
        <f aca="false">IFERROR(SUMIFS('Score Log'!E:E,'Score Log'!A:A,$B$3,'Score Log'!C:C,A11),"")</f>
        <v>0</v>
      </c>
      <c r="D11" s="31" t="n">
        <f aca="false">IFERROR(SUMIFS('Score Log'!F:F,'Score Log'!A:A,$B$3,'Score Log'!C:C,A11),"")</f>
        <v>0</v>
      </c>
      <c r="E11" s="31" t="n">
        <f aca="false">IFERROR(SUMIFS('Score Log'!G:G,'Score Log'!A:A,$B$3,'Score Log'!C:C,A11),"")</f>
        <v>0</v>
      </c>
      <c r="F11" s="32" t="n">
        <f aca="false">IFERROR(INDEX('Score Log'!H:H,MATCH($B$3,'Score Log'!A:A,0)+A11-1),"")</f>
        <v>0</v>
      </c>
      <c r="G11" s="32" t="n">
        <f aca="false">IFERROR(INDEX('Score Log'!I:I,MATCH($B$3,'Score Log'!A:A,0)+A11-1),"")</f>
        <v>0</v>
      </c>
      <c r="H11" s="32" t="n">
        <f aca="false">IFERROR(INDEX('Score Log'!J:J,MATCH($B$3,'Score Log'!A:A,0)+A11-1),"")</f>
        <v>0</v>
      </c>
      <c r="I11" s="32" t="n">
        <f aca="false">IFERROR(INDEX('Score Log'!K:K,MATCH($B$3,'Score Log'!A:A,0)+A11-1),"")</f>
        <v>0</v>
      </c>
      <c r="J11" s="28" t="n">
        <f aca="false">IFERROR(INDEX('Score Log'!L:L,MATCH($B$3,'Score Log'!A:A,0)+A11-1),"")</f>
        <v>0</v>
      </c>
      <c r="K11" s="33" t="n">
        <f aca="false">IFERROR(K10+J11,"")</f>
        <v>0</v>
      </c>
    </row>
    <row r="12" customFormat="false" ht="15" hidden="false" customHeight="false" outlineLevel="0" collapsed="false">
      <c r="A12" s="9" t="n">
        <v>7</v>
      </c>
      <c r="B12" s="18" t="str">
        <f aca="false">IF(A12&lt;=3,"Block 1",IF(A12&lt;=6,"Block 2","Block 3"))</f>
        <v>Block 3</v>
      </c>
      <c r="C12" s="31" t="n">
        <f aca="false">IFERROR(SUMIFS('Score Log'!E:E,'Score Log'!A:A,$B$3,'Score Log'!C:C,A12),"")</f>
        <v>0</v>
      </c>
      <c r="D12" s="31" t="n">
        <f aca="false">IFERROR(SUMIFS('Score Log'!F:F,'Score Log'!A:A,$B$3,'Score Log'!C:C,A12),"")</f>
        <v>0</v>
      </c>
      <c r="E12" s="31" t="n">
        <f aca="false">IFERROR(SUMIFS('Score Log'!G:G,'Score Log'!A:A,$B$3,'Score Log'!C:C,A12),"")</f>
        <v>0</v>
      </c>
      <c r="F12" s="32" t="n">
        <f aca="false">IFERROR(INDEX('Score Log'!H:H,MATCH($B$3,'Score Log'!A:A,0)+A12-1),"")</f>
        <v>0</v>
      </c>
      <c r="G12" s="32" t="n">
        <f aca="false">IFERROR(INDEX('Score Log'!I:I,MATCH($B$3,'Score Log'!A:A,0)+A12-1),"")</f>
        <v>0</v>
      </c>
      <c r="H12" s="32" t="n">
        <f aca="false">IFERROR(INDEX('Score Log'!J:J,MATCH($B$3,'Score Log'!A:A,0)+A12-1),"")</f>
        <v>0</v>
      </c>
      <c r="I12" s="32" t="n">
        <f aca="false">IFERROR(INDEX('Score Log'!K:K,MATCH($B$3,'Score Log'!A:A,0)+A12-1),"")</f>
        <v>0</v>
      </c>
      <c r="J12" s="28" t="n">
        <f aca="false">IFERROR(INDEX('Score Log'!L:L,MATCH($B$3,'Score Log'!A:A,0)+A12-1),"")</f>
        <v>0</v>
      </c>
      <c r="K12" s="33" t="n">
        <f aca="false">IFERROR(K11+J12,"")</f>
        <v>0</v>
      </c>
    </row>
    <row r="13" customFormat="false" ht="15" hidden="false" customHeight="false" outlineLevel="0" collapsed="false">
      <c r="A13" s="9" t="n">
        <v>8</v>
      </c>
      <c r="B13" s="18" t="str">
        <f aca="false">IF(A13&lt;=3,"Block 1",IF(A13&lt;=6,"Block 2","Block 3"))</f>
        <v>Block 3</v>
      </c>
      <c r="C13" s="31" t="n">
        <f aca="false">IFERROR(SUMIFS('Score Log'!E:E,'Score Log'!A:A,$B$3,'Score Log'!C:C,A13),"")</f>
        <v>0</v>
      </c>
      <c r="D13" s="31" t="n">
        <f aca="false">IFERROR(SUMIFS('Score Log'!F:F,'Score Log'!A:A,$B$3,'Score Log'!C:C,A13),"")</f>
        <v>0</v>
      </c>
      <c r="E13" s="31" t="n">
        <f aca="false">IFERROR(SUMIFS('Score Log'!G:G,'Score Log'!A:A,$B$3,'Score Log'!C:C,A13),"")</f>
        <v>0</v>
      </c>
      <c r="F13" s="32" t="n">
        <f aca="false">IFERROR(INDEX('Score Log'!H:H,MATCH($B$3,'Score Log'!A:A,0)+A13-1),"")</f>
        <v>0</v>
      </c>
      <c r="G13" s="32" t="n">
        <f aca="false">IFERROR(INDEX('Score Log'!I:I,MATCH($B$3,'Score Log'!A:A,0)+A13-1),"")</f>
        <v>0</v>
      </c>
      <c r="H13" s="32" t="n">
        <f aca="false">IFERROR(INDEX('Score Log'!J:J,MATCH($B$3,'Score Log'!A:A,0)+A13-1),"")</f>
        <v>0</v>
      </c>
      <c r="I13" s="32" t="n">
        <f aca="false">IFERROR(INDEX('Score Log'!K:K,MATCH($B$3,'Score Log'!A:A,0)+A13-1),"")</f>
        <v>0</v>
      </c>
      <c r="J13" s="28" t="n">
        <f aca="false">IFERROR(INDEX('Score Log'!L:L,MATCH($B$3,'Score Log'!A:A,0)+A13-1),"")</f>
        <v>0</v>
      </c>
      <c r="K13" s="33" t="n">
        <f aca="false">IFERROR(K12+J13,"")</f>
        <v>0</v>
      </c>
    </row>
    <row r="14" customFormat="false" ht="15" hidden="false" customHeight="false" outlineLevel="0" collapsed="false">
      <c r="A14" s="9" t="n">
        <v>9</v>
      </c>
      <c r="B14" s="18" t="str">
        <f aca="false">IF(A14&lt;=3,"Block 1",IF(A14&lt;=6,"Block 2","Block 3"))</f>
        <v>Block 3</v>
      </c>
      <c r="C14" s="31" t="n">
        <f aca="false">IFERROR(SUMIFS('Score Log'!E:E,'Score Log'!A:A,$B$3,'Score Log'!C:C,A14),"")</f>
        <v>0</v>
      </c>
      <c r="D14" s="31" t="n">
        <f aca="false">IFERROR(SUMIFS('Score Log'!F:F,'Score Log'!A:A,$B$3,'Score Log'!C:C,A14),"")</f>
        <v>0</v>
      </c>
      <c r="E14" s="31" t="n">
        <f aca="false">IFERROR(SUMIFS('Score Log'!G:G,'Score Log'!A:A,$B$3,'Score Log'!C:C,A14),"")</f>
        <v>0</v>
      </c>
      <c r="F14" s="32" t="n">
        <f aca="false">IFERROR(INDEX('Score Log'!H:H,MATCH($B$3,'Score Log'!A:A,0)+A14-1),"")</f>
        <v>0</v>
      </c>
      <c r="G14" s="32" t="n">
        <f aca="false">IFERROR(INDEX('Score Log'!I:I,MATCH($B$3,'Score Log'!A:A,0)+A14-1),"")</f>
        <v>0</v>
      </c>
      <c r="H14" s="32" t="n">
        <f aca="false">IFERROR(INDEX('Score Log'!J:J,MATCH($B$3,'Score Log'!A:A,0)+A14-1),"")</f>
        <v>0</v>
      </c>
      <c r="I14" s="32" t="n">
        <f aca="false">IFERROR(INDEX('Score Log'!K:K,MATCH($B$3,'Score Log'!A:A,0)+A14-1),"")</f>
        <v>0</v>
      </c>
      <c r="J14" s="28" t="n">
        <f aca="false">IFERROR(INDEX('Score Log'!L:L,MATCH($B$3,'Score Log'!A:A,0)+A14-1),"")</f>
        <v>0</v>
      </c>
      <c r="K14" s="33" t="n">
        <f aca="false">IFERROR(K13+J14,"")</f>
        <v>0</v>
      </c>
    </row>
  </sheetData>
  <mergeCells count="2">
    <mergeCell ref="A1:K1"/>
    <mergeCell ref="C3:K3"/>
  </mergeCells>
  <conditionalFormatting sqref="J6:J14">
    <cfRule type="colorScale" priority="2">
      <colorScale>
        <cfvo type="num" val="0"/>
        <cfvo type="num" val="15"/>
        <cfvo type="num" val="30"/>
        <color rgb="FFF8CBAD"/>
        <color rgb="FFFFE699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30" hidden="false" customHeight="true" outlineLevel="0" collapsed="false">
      <c r="A1" s="6" t="s">
        <v>104</v>
      </c>
      <c r="B1" s="6"/>
      <c r="C1" s="6"/>
    </row>
    <row r="3" customFormat="false" ht="16.15" hidden="false" customHeight="false" outlineLevel="0" collapsed="false">
      <c r="A3" s="34" t="s">
        <v>105</v>
      </c>
      <c r="B3" s="34"/>
      <c r="C3" s="34"/>
    </row>
    <row r="4" customFormat="false" ht="30" hidden="false" customHeight="true" outlineLevel="0" collapsed="false">
      <c r="A4" s="35" t="s">
        <v>106</v>
      </c>
      <c r="B4" s="35" t="s">
        <v>107</v>
      </c>
      <c r="C4" s="13" t="s">
        <v>108</v>
      </c>
    </row>
    <row r="6" customFormat="false" ht="16.15" hidden="false" customHeight="false" outlineLevel="0" collapsed="false">
      <c r="A6" s="34" t="s">
        <v>109</v>
      </c>
      <c r="B6" s="34"/>
      <c r="C6" s="34"/>
    </row>
    <row r="7" customFormat="false" ht="37.5" hidden="false" customHeight="true" outlineLevel="0" collapsed="false">
      <c r="A7" s="36" t="s">
        <v>110</v>
      </c>
      <c r="B7" s="37" t="s">
        <v>111</v>
      </c>
      <c r="C7" s="38" t="s">
        <v>112</v>
      </c>
    </row>
    <row r="8" customFormat="false" ht="37.5" hidden="false" customHeight="true" outlineLevel="0" collapsed="false">
      <c r="A8" s="36" t="s">
        <v>113</v>
      </c>
      <c r="B8" s="37"/>
      <c r="C8" s="38" t="s">
        <v>114</v>
      </c>
    </row>
    <row r="9" customFormat="false" ht="37.5" hidden="false" customHeight="true" outlineLevel="0" collapsed="false">
      <c r="A9" s="36" t="s">
        <v>115</v>
      </c>
      <c r="B9" s="37"/>
      <c r="C9" s="38" t="s">
        <v>116</v>
      </c>
    </row>
    <row r="11" customFormat="false" ht="16.15" hidden="false" customHeight="false" outlineLevel="0" collapsed="false">
      <c r="A11" s="34" t="s">
        <v>117</v>
      </c>
      <c r="B11" s="34"/>
      <c r="C11" s="34"/>
    </row>
    <row r="12" customFormat="false" ht="37.5" hidden="false" customHeight="true" outlineLevel="0" collapsed="false">
      <c r="A12" s="36" t="s">
        <v>110</v>
      </c>
      <c r="B12" s="37" t="s">
        <v>111</v>
      </c>
      <c r="C12" s="38" t="s">
        <v>112</v>
      </c>
    </row>
    <row r="13" customFormat="false" ht="37.5" hidden="false" customHeight="true" outlineLevel="0" collapsed="false">
      <c r="A13" s="36" t="s">
        <v>113</v>
      </c>
      <c r="B13" s="37"/>
      <c r="C13" s="38" t="s">
        <v>118</v>
      </c>
    </row>
    <row r="14" customFormat="false" ht="37.5" hidden="false" customHeight="true" outlineLevel="0" collapsed="false">
      <c r="A14" s="36" t="s">
        <v>115</v>
      </c>
      <c r="B14" s="37"/>
      <c r="C14" s="38" t="s">
        <v>119</v>
      </c>
    </row>
    <row r="16" customFormat="false" ht="16.15" hidden="false" customHeight="false" outlineLevel="0" collapsed="false">
      <c r="A16" s="34" t="s">
        <v>120</v>
      </c>
      <c r="B16" s="34"/>
      <c r="C16" s="34"/>
    </row>
    <row r="17" customFormat="false" ht="37.5" hidden="false" customHeight="true" outlineLevel="0" collapsed="false">
      <c r="A17" s="36" t="s">
        <v>110</v>
      </c>
      <c r="B17" s="37" t="s">
        <v>121</v>
      </c>
      <c r="C17" s="38" t="s">
        <v>122</v>
      </c>
    </row>
    <row r="18" customFormat="false" ht="37.5" hidden="false" customHeight="true" outlineLevel="0" collapsed="false">
      <c r="A18" s="36" t="s">
        <v>113</v>
      </c>
      <c r="B18" s="37"/>
      <c r="C18" s="38" t="s">
        <v>123</v>
      </c>
    </row>
    <row r="19" customFormat="false" ht="37.5" hidden="false" customHeight="true" outlineLevel="0" collapsed="false">
      <c r="A19" s="36" t="s">
        <v>115</v>
      </c>
      <c r="B19" s="37"/>
      <c r="C19" s="38" t="s">
        <v>124</v>
      </c>
    </row>
    <row r="21" customFormat="false" ht="16.15" hidden="false" customHeight="false" outlineLevel="0" collapsed="false">
      <c r="A21" s="39" t="s">
        <v>125</v>
      </c>
      <c r="B21" s="39"/>
      <c r="C21" s="39"/>
    </row>
    <row r="22" customFormat="false" ht="36" hidden="false" customHeight="true" outlineLevel="0" collapsed="false">
      <c r="A22" s="33" t="s">
        <v>126</v>
      </c>
      <c r="B22" s="38" t="s">
        <v>127</v>
      </c>
      <c r="C22" s="38"/>
    </row>
    <row r="23" customFormat="false" ht="36" hidden="false" customHeight="true" outlineLevel="0" collapsed="false">
      <c r="A23" s="33" t="s">
        <v>128</v>
      </c>
      <c r="B23" s="38" t="s">
        <v>129</v>
      </c>
      <c r="C23" s="38"/>
    </row>
    <row r="24" customFormat="false" ht="36" hidden="false" customHeight="true" outlineLevel="0" collapsed="false">
      <c r="A24" s="33" t="s">
        <v>130</v>
      </c>
      <c r="B24" s="38" t="s">
        <v>131</v>
      </c>
      <c r="C24" s="38"/>
    </row>
    <row r="25" customFormat="false" ht="36" hidden="false" customHeight="true" outlineLevel="0" collapsed="false">
      <c r="A25" s="33" t="s">
        <v>132</v>
      </c>
      <c r="B25" s="38" t="s">
        <v>133</v>
      </c>
      <c r="C25" s="38"/>
    </row>
    <row r="26" customFormat="false" ht="36" hidden="false" customHeight="true" outlineLevel="0" collapsed="false">
      <c r="A26" s="33" t="s">
        <v>134</v>
      </c>
      <c r="B26" s="38" t="s">
        <v>135</v>
      </c>
      <c r="C26" s="38"/>
    </row>
    <row r="27" customFormat="false" ht="36" hidden="false" customHeight="true" outlineLevel="0" collapsed="false">
      <c r="A27" s="33" t="s">
        <v>136</v>
      </c>
      <c r="B27" s="38" t="s">
        <v>137</v>
      </c>
      <c r="C27" s="38"/>
    </row>
  </sheetData>
  <mergeCells count="12">
    <mergeCell ref="A1:C1"/>
    <mergeCell ref="A3:C3"/>
    <mergeCell ref="A6:C6"/>
    <mergeCell ref="A11:C11"/>
    <mergeCell ref="A16:C16"/>
    <mergeCell ref="A21:C21"/>
    <mergeCell ref="B22:C22"/>
    <mergeCell ref="B23:C23"/>
    <mergeCell ref="B24:C24"/>
    <mergeCell ref="B25:C25"/>
    <mergeCell ref="B26:C26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2026-05-11T11:04:49Z</dcterms:created>
  <dc:creator>openpyxl</dc:creator>
  <dc:description/>
  <dc:language>en-US</dc:language>
  <cp:lastModifiedBy/>
  <dcterms:modified xsi:type="dcterms:W3CDTF">2026-05-11T11:04:56Z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